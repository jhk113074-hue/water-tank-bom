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YSACC Share Folder\WATANI_PROJECT\1. WATANI_SUBMIT(FINAL)\Cost_Table_Panel\"/>
    </mc:Choice>
  </mc:AlternateContent>
  <xr:revisionPtr revIDLastSave="0" documentId="13_ncr:1_{94B654C6-C64E-4D34-9DE3-454407643FAB}" xr6:coauthVersionLast="47" xr6:coauthVersionMax="47" xr10:uidLastSave="{00000000-0000-0000-0000-000000000000}"/>
  <bookViews>
    <workbookView xWindow="-120" yWindow="-120" windowWidth="29040" windowHeight="15840" xr2:uid="{5AA20335-DE94-4356-9606-2EAA51C2F47A}"/>
  </bookViews>
  <sheets>
    <sheet name="Panel_Cost_Table" sheetId="1" r:id="rId1"/>
    <sheet name="LABOUR_Cost" sheetId="2" r:id="rId2"/>
    <sheet name="Equipment Costs(Press_Machine)" sheetId="3" r:id="rId3"/>
    <sheet name="Equipment Costs(Drilling)" sheetId="5" r:id="rId4"/>
    <sheet name="Sheet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5" l="1"/>
  <c r="C32" i="3"/>
  <c r="E32" i="3"/>
  <c r="D32" i="3"/>
  <c r="F32" i="3"/>
  <c r="E21" i="3"/>
  <c r="D21" i="3"/>
  <c r="C21" i="3"/>
  <c r="E16" i="3"/>
  <c r="E15" i="3"/>
  <c r="E18" i="3"/>
  <c r="E17" i="3"/>
  <c r="D5" i="3"/>
  <c r="I4" i="1"/>
  <c r="J4" i="1"/>
  <c r="M4" i="1" s="1"/>
  <c r="K26" i="1"/>
  <c r="K27" i="1"/>
  <c r="L2" i="1"/>
  <c r="AB5" i="1"/>
  <c r="AC5" i="1" s="1"/>
  <c r="AB6" i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C12" i="1" s="1"/>
  <c r="AB13" i="1"/>
  <c r="AB14" i="1"/>
  <c r="AC14" i="1" s="1"/>
  <c r="AB15" i="1"/>
  <c r="AC15" i="1" s="1"/>
  <c r="AB16" i="1"/>
  <c r="AC16" i="1" s="1"/>
  <c r="AB17" i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B25" i="1"/>
  <c r="AC25" i="1" s="1"/>
  <c r="AB26" i="1"/>
  <c r="AC26" i="1" s="1"/>
  <c r="AB27" i="1"/>
  <c r="AC27" i="1" s="1"/>
  <c r="AB4" i="1"/>
  <c r="AC4" i="1" s="1"/>
  <c r="C22" i="5"/>
  <c r="F33" i="5"/>
  <c r="C24" i="5"/>
  <c r="E17" i="5"/>
  <c r="D23" i="5" s="1"/>
  <c r="E28" i="5" s="1"/>
  <c r="D17" i="5"/>
  <c r="C17" i="5"/>
  <c r="E16" i="5"/>
  <c r="E15" i="5"/>
  <c r="C10" i="5"/>
  <c r="G5" i="5" s="1"/>
  <c r="F5" i="5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4" i="1"/>
  <c r="B14" i="2"/>
  <c r="C14" i="2" s="1"/>
  <c r="D14" i="2" s="1"/>
  <c r="B32" i="2"/>
  <c r="B34" i="2" s="1"/>
  <c r="B31" i="2"/>
  <c r="C31" i="2" s="1"/>
  <c r="R4" i="1"/>
  <c r="B33" i="2"/>
  <c r="B12" i="2"/>
  <c r="C12" i="2" s="1"/>
  <c r="D12" i="2" s="1"/>
  <c r="C26" i="3"/>
  <c r="C28" i="3" s="1"/>
  <c r="C10" i="3"/>
  <c r="G5" i="3" s="1"/>
  <c r="D43" i="3"/>
  <c r="F37" i="3"/>
  <c r="E19" i="3"/>
  <c r="E20" i="3"/>
  <c r="D27" i="2"/>
  <c r="D33" i="2" s="1"/>
  <c r="B13" i="2"/>
  <c r="C13" i="2" s="1"/>
  <c r="D13" i="2" s="1"/>
  <c r="C33" i="2"/>
  <c r="C11" i="2"/>
  <c r="D11" i="2" s="1"/>
  <c r="D7" i="2"/>
  <c r="L27" i="1" l="1"/>
  <c r="V4" i="1"/>
  <c r="AC13" i="1"/>
  <c r="AC24" i="1"/>
  <c r="AC17" i="1"/>
  <c r="AC6" i="1"/>
  <c r="D21" i="5"/>
  <c r="I5" i="5"/>
  <c r="B39" i="5" s="1"/>
  <c r="E39" i="5" s="1"/>
  <c r="D22" i="5"/>
  <c r="D28" i="5" s="1"/>
  <c r="D31" i="2"/>
  <c r="C32" i="2"/>
  <c r="D32" i="2" s="1"/>
  <c r="F5" i="3"/>
  <c r="D15" i="2"/>
  <c r="C15" i="2"/>
  <c r="O27" i="1"/>
  <c r="J27" i="1"/>
  <c r="O26" i="1"/>
  <c r="J26" i="1"/>
  <c r="N25" i="1"/>
  <c r="O25" i="1" s="1"/>
  <c r="R25" i="1" s="1"/>
  <c r="V25" i="1" s="1"/>
  <c r="K25" i="1"/>
  <c r="I25" i="1"/>
  <c r="J25" i="1" s="1"/>
  <c r="H25" i="1"/>
  <c r="G25" i="1"/>
  <c r="N24" i="1"/>
  <c r="O24" i="1" s="1"/>
  <c r="R24" i="1" s="1"/>
  <c r="V24" i="1" s="1"/>
  <c r="K24" i="1"/>
  <c r="I24" i="1"/>
  <c r="J24" i="1" s="1"/>
  <c r="H24" i="1"/>
  <c r="G24" i="1"/>
  <c r="N23" i="1"/>
  <c r="O23" i="1" s="1"/>
  <c r="R23" i="1" s="1"/>
  <c r="V23" i="1" s="1"/>
  <c r="K23" i="1"/>
  <c r="I23" i="1"/>
  <c r="J23" i="1" s="1"/>
  <c r="H23" i="1"/>
  <c r="G23" i="1"/>
  <c r="N22" i="1"/>
  <c r="O22" i="1" s="1"/>
  <c r="R22" i="1" s="1"/>
  <c r="V22" i="1" s="1"/>
  <c r="K22" i="1"/>
  <c r="I22" i="1"/>
  <c r="J22" i="1" s="1"/>
  <c r="O21" i="1"/>
  <c r="R21" i="1" s="1"/>
  <c r="V21" i="1" s="1"/>
  <c r="K21" i="1"/>
  <c r="J21" i="1"/>
  <c r="O20" i="1"/>
  <c r="R20" i="1" s="1"/>
  <c r="V20" i="1" s="1"/>
  <c r="K20" i="1"/>
  <c r="J20" i="1"/>
  <c r="O19" i="1"/>
  <c r="R19" i="1" s="1"/>
  <c r="V19" i="1" s="1"/>
  <c r="K19" i="1"/>
  <c r="J19" i="1"/>
  <c r="O18" i="1"/>
  <c r="R18" i="1" s="1"/>
  <c r="V18" i="1" s="1"/>
  <c r="K18" i="1"/>
  <c r="J18" i="1"/>
  <c r="O17" i="1"/>
  <c r="R17" i="1" s="1"/>
  <c r="V17" i="1" s="1"/>
  <c r="K17" i="1"/>
  <c r="J17" i="1"/>
  <c r="H17" i="1"/>
  <c r="G17" i="1"/>
  <c r="O16" i="1"/>
  <c r="R16" i="1" s="1"/>
  <c r="V16" i="1" s="1"/>
  <c r="K16" i="1"/>
  <c r="J16" i="1"/>
  <c r="H16" i="1"/>
  <c r="G16" i="1"/>
  <c r="O15" i="1"/>
  <c r="R15" i="1" s="1"/>
  <c r="V15" i="1" s="1"/>
  <c r="K15" i="1"/>
  <c r="J15" i="1"/>
  <c r="H15" i="1"/>
  <c r="G15" i="1"/>
  <c r="O14" i="1"/>
  <c r="R14" i="1" s="1"/>
  <c r="V14" i="1" s="1"/>
  <c r="K14" i="1"/>
  <c r="J14" i="1"/>
  <c r="N13" i="1"/>
  <c r="O13" i="1" s="1"/>
  <c r="R13" i="1" s="1"/>
  <c r="V13" i="1" s="1"/>
  <c r="K13" i="1"/>
  <c r="J13" i="1"/>
  <c r="N12" i="1"/>
  <c r="O12" i="1" s="1"/>
  <c r="R12" i="1" s="1"/>
  <c r="V12" i="1" s="1"/>
  <c r="K12" i="1"/>
  <c r="J12" i="1"/>
  <c r="N11" i="1"/>
  <c r="O11" i="1" s="1"/>
  <c r="R11" i="1" s="1"/>
  <c r="V11" i="1" s="1"/>
  <c r="K11" i="1"/>
  <c r="J11" i="1"/>
  <c r="O10" i="1"/>
  <c r="R10" i="1" s="1"/>
  <c r="V10" i="1" s="1"/>
  <c r="K10" i="1"/>
  <c r="J10" i="1"/>
  <c r="O9" i="1"/>
  <c r="R9" i="1" s="1"/>
  <c r="V9" i="1" s="1"/>
  <c r="K9" i="1"/>
  <c r="J9" i="1"/>
  <c r="H9" i="1"/>
  <c r="G9" i="1"/>
  <c r="O8" i="1"/>
  <c r="R8" i="1" s="1"/>
  <c r="V8" i="1" s="1"/>
  <c r="K8" i="1"/>
  <c r="J8" i="1"/>
  <c r="H8" i="1"/>
  <c r="O7" i="1"/>
  <c r="R7" i="1" s="1"/>
  <c r="V7" i="1" s="1"/>
  <c r="K7" i="1"/>
  <c r="J7" i="1"/>
  <c r="H7" i="1"/>
  <c r="G7" i="1"/>
  <c r="O6" i="1"/>
  <c r="R6" i="1" s="1"/>
  <c r="V6" i="1" s="1"/>
  <c r="K6" i="1"/>
  <c r="I6" i="1"/>
  <c r="J6" i="1" s="1"/>
  <c r="H6" i="1"/>
  <c r="G6" i="1"/>
  <c r="O5" i="1"/>
  <c r="R5" i="1" s="1"/>
  <c r="V5" i="1" s="1"/>
  <c r="J5" i="1"/>
  <c r="M5" i="1" s="1"/>
  <c r="R27" i="1" l="1"/>
  <c r="V27" i="1" s="1"/>
  <c r="R26" i="1"/>
  <c r="V26" i="1" s="1"/>
  <c r="D24" i="5"/>
  <c r="C28" i="5"/>
  <c r="F28" i="5" s="1"/>
  <c r="C39" i="5" s="1"/>
  <c r="F39" i="5" s="1"/>
  <c r="L11" i="1"/>
  <c r="M11" i="1" s="1"/>
  <c r="D34" i="2"/>
  <c r="B37" i="2" s="1"/>
  <c r="B17" i="2"/>
  <c r="B36" i="2"/>
  <c r="C34" i="2"/>
  <c r="L9" i="1"/>
  <c r="M9" i="1" s="1"/>
  <c r="L25" i="1"/>
  <c r="M25" i="1" s="1"/>
  <c r="L23" i="1"/>
  <c r="M23" i="1" s="1"/>
  <c r="L14" i="1"/>
  <c r="M14" i="1" s="1"/>
  <c r="L20" i="1"/>
  <c r="M20" i="1" s="1"/>
  <c r="L21" i="1"/>
  <c r="M21" i="1" s="1"/>
  <c r="M27" i="1"/>
  <c r="L6" i="1"/>
  <c r="M6" i="1" s="1"/>
  <c r="L15" i="1"/>
  <c r="M15" i="1" s="1"/>
  <c r="L10" i="1"/>
  <c r="M10" i="1" s="1"/>
  <c r="L22" i="1"/>
  <c r="M22" i="1" s="1"/>
  <c r="L13" i="1"/>
  <c r="M13" i="1" s="1"/>
  <c r="D25" i="3"/>
  <c r="D26" i="3"/>
  <c r="D27" i="3"/>
  <c r="L8" i="1"/>
  <c r="M8" i="1" s="1"/>
  <c r="L24" i="1"/>
  <c r="M24" i="1" s="1"/>
  <c r="L12" i="1"/>
  <c r="M12" i="1" s="1"/>
  <c r="L16" i="1"/>
  <c r="M16" i="1" s="1"/>
  <c r="L19" i="1"/>
  <c r="M19" i="1" s="1"/>
  <c r="L26" i="1"/>
  <c r="M26" i="1" s="1"/>
  <c r="L7" i="1"/>
  <c r="M7" i="1" s="1"/>
  <c r="L17" i="1"/>
  <c r="M17" i="1" s="1"/>
  <c r="L18" i="1"/>
  <c r="M18" i="1" s="1"/>
  <c r="X11" i="1" l="1"/>
  <c r="Z11" i="1" s="1"/>
  <c r="AD11" i="1" s="1"/>
  <c r="X27" i="1"/>
  <c r="Z27" i="1" s="1"/>
  <c r="AD27" i="1" s="1"/>
  <c r="X7" i="1"/>
  <c r="Z7" i="1" s="1"/>
  <c r="AD7" i="1" s="1"/>
  <c r="X24" i="1"/>
  <c r="Z24" i="1" s="1"/>
  <c r="AD24" i="1" s="1"/>
  <c r="X25" i="1"/>
  <c r="Z25" i="1" s="1"/>
  <c r="AD25" i="1" s="1"/>
  <c r="X12" i="1"/>
  <c r="Z12" i="1" s="1"/>
  <c r="AD12" i="1" s="1"/>
  <c r="X4" i="1"/>
  <c r="Z4" i="1" s="1"/>
  <c r="AD4" i="1" s="1"/>
  <c r="X23" i="1"/>
  <c r="Z23" i="1" s="1"/>
  <c r="AD23" i="1" s="1"/>
  <c r="X13" i="1"/>
  <c r="Z13" i="1" s="1"/>
  <c r="AD13" i="1" s="1"/>
  <c r="X16" i="1"/>
  <c r="Z16" i="1" s="1"/>
  <c r="AD16" i="1" s="1"/>
  <c r="X26" i="1"/>
  <c r="Z26" i="1" s="1"/>
  <c r="AD26" i="1" s="1"/>
  <c r="X14" i="1"/>
  <c r="Z14" i="1" s="1"/>
  <c r="AD14" i="1" s="1"/>
  <c r="X8" i="1"/>
  <c r="Z8" i="1" s="1"/>
  <c r="AD8" i="1" s="1"/>
  <c r="X15" i="1"/>
  <c r="Z15" i="1" s="1"/>
  <c r="AD15" i="1" s="1"/>
  <c r="X9" i="1"/>
  <c r="Z9" i="1" s="1"/>
  <c r="AD9" i="1" s="1"/>
  <c r="X17" i="1"/>
  <c r="Z17" i="1" s="1"/>
  <c r="AD17" i="1" s="1"/>
  <c r="X18" i="1"/>
  <c r="Z18" i="1" s="1"/>
  <c r="AD18" i="1" s="1"/>
  <c r="X19" i="1"/>
  <c r="Z19" i="1" s="1"/>
  <c r="AD19" i="1" s="1"/>
  <c r="X20" i="1"/>
  <c r="Z20" i="1" s="1"/>
  <c r="AD20" i="1" s="1"/>
  <c r="X21" i="1"/>
  <c r="Z21" i="1" s="1"/>
  <c r="AD21" i="1" s="1"/>
  <c r="X22" i="1"/>
  <c r="Z22" i="1" s="1"/>
  <c r="AD22" i="1" s="1"/>
  <c r="X5" i="1"/>
  <c r="Z5" i="1" s="1"/>
  <c r="AD5" i="1" s="1"/>
  <c r="X6" i="1"/>
  <c r="Z6" i="1" s="1"/>
  <c r="AD6" i="1" s="1"/>
  <c r="X10" i="1"/>
  <c r="Z10" i="1" s="1"/>
  <c r="AD10" i="1" s="1"/>
  <c r="C43" i="3"/>
  <c r="D28" i="3"/>
  <c r="I5" i="3"/>
  <c r="B43" i="3" s="1"/>
  <c r="E43" i="3" s="1"/>
  <c r="F43" i="3" l="1"/>
  <c r="Q9" i="1" l="1"/>
  <c r="S9" i="1" s="1"/>
  <c r="W9" i="1" s="1"/>
  <c r="AE9" i="1" s="1"/>
  <c r="Q12" i="1"/>
  <c r="S12" i="1" s="1"/>
  <c r="W12" i="1" s="1"/>
  <c r="AE12" i="1" s="1"/>
  <c r="Q16" i="1"/>
  <c r="S16" i="1" s="1"/>
  <c r="W16" i="1" s="1"/>
  <c r="AE16" i="1" s="1"/>
  <c r="Q23" i="1"/>
  <c r="S23" i="1" s="1"/>
  <c r="W23" i="1" s="1"/>
  <c r="AE23" i="1" s="1"/>
  <c r="Q17" i="1"/>
  <c r="S17" i="1" s="1"/>
  <c r="W17" i="1" s="1"/>
  <c r="AE17" i="1" s="1"/>
  <c r="Q24" i="1"/>
  <c r="S24" i="1" s="1"/>
  <c r="W24" i="1" s="1"/>
  <c r="AE24" i="1" s="1"/>
  <c r="Q5" i="1"/>
  <c r="S5" i="1" s="1"/>
  <c r="W5" i="1" s="1"/>
  <c r="AE5" i="1" s="1"/>
  <c r="Q13" i="1"/>
  <c r="S13" i="1" s="1"/>
  <c r="W13" i="1" s="1"/>
  <c r="AE13" i="1" s="1"/>
  <c r="Q20" i="1"/>
  <c r="S20" i="1" s="1"/>
  <c r="W20" i="1" s="1"/>
  <c r="AE20" i="1" s="1"/>
  <c r="Q6" i="1"/>
  <c r="S6" i="1" s="1"/>
  <c r="W6" i="1" s="1"/>
  <c r="AE6" i="1" s="1"/>
  <c r="Q21" i="1"/>
  <c r="S21" i="1" s="1"/>
  <c r="W21" i="1" s="1"/>
  <c r="AE21" i="1" s="1"/>
  <c r="Q15" i="1"/>
  <c r="S15" i="1" s="1"/>
  <c r="W15" i="1" s="1"/>
  <c r="AE15" i="1" s="1"/>
  <c r="Q7" i="1"/>
  <c r="S7" i="1" s="1"/>
  <c r="W7" i="1" s="1"/>
  <c r="AE7" i="1" s="1"/>
  <c r="Q10" i="1"/>
  <c r="S10" i="1" s="1"/>
  <c r="W10" i="1" s="1"/>
  <c r="AE10" i="1" s="1"/>
  <c r="Q14" i="1"/>
  <c r="S14" i="1" s="1"/>
  <c r="W14" i="1" s="1"/>
  <c r="AE14" i="1" s="1"/>
  <c r="Q25" i="1"/>
  <c r="S25" i="1" s="1"/>
  <c r="W25" i="1" s="1"/>
  <c r="AE25" i="1" s="1"/>
  <c r="Q11" i="1"/>
  <c r="S11" i="1" s="1"/>
  <c r="W11" i="1" s="1"/>
  <c r="AE11" i="1" s="1"/>
  <c r="Q22" i="1"/>
  <c r="S22" i="1" s="1"/>
  <c r="W22" i="1" s="1"/>
  <c r="AE22" i="1" s="1"/>
  <c r="Q19" i="1"/>
  <c r="S19" i="1" s="1"/>
  <c r="W19" i="1" s="1"/>
  <c r="AE19" i="1" s="1"/>
  <c r="Q18" i="1"/>
  <c r="S18" i="1" s="1"/>
  <c r="W18" i="1" s="1"/>
  <c r="AE18" i="1" s="1"/>
  <c r="Q26" i="1"/>
  <c r="S26" i="1" s="1"/>
  <c r="W26" i="1" s="1"/>
  <c r="AE26" i="1" s="1"/>
  <c r="Q8" i="1"/>
  <c r="S8" i="1" s="1"/>
  <c r="W8" i="1" s="1"/>
  <c r="AE8" i="1" s="1"/>
  <c r="Q27" i="1"/>
  <c r="S27" i="1" s="1"/>
  <c r="W27" i="1" s="1"/>
  <c r="AE27" i="1" s="1"/>
  <c r="Q4" i="1"/>
  <c r="S4" i="1" s="1"/>
  <c r="W4" i="1" s="1"/>
  <c r="AE4" i="1" s="1"/>
</calcChain>
</file>

<file path=xl/sharedStrings.xml><?xml version="1.0" encoding="utf-8"?>
<sst xmlns="http://schemas.openxmlformats.org/spreadsheetml/2006/main" count="300" uniqueCount="174">
  <si>
    <t>RAW MATERIALS</t>
    <phoneticPr fontId="4" type="noConversion"/>
  </si>
  <si>
    <t>NO</t>
    <phoneticPr fontId="6" type="noConversion"/>
  </si>
  <si>
    <t>Full Coding</t>
  </si>
  <si>
    <t>Panel Type</t>
  </si>
  <si>
    <t>Tank Height(mH)</t>
    <phoneticPr fontId="6" type="noConversion"/>
  </si>
  <si>
    <t>SIZE</t>
    <phoneticPr fontId="4" type="noConversion"/>
  </si>
  <si>
    <t>SMC</t>
    <phoneticPr fontId="6" type="noConversion"/>
  </si>
  <si>
    <t>G/C</t>
    <phoneticPr fontId="4" type="noConversion"/>
  </si>
  <si>
    <t>Raw Material
Sum</t>
    <phoneticPr fontId="4" type="noConversion"/>
  </si>
  <si>
    <t>PRESSING TIME</t>
    <phoneticPr fontId="4" type="noConversion"/>
  </si>
  <si>
    <t>C/TIME</t>
    <phoneticPr fontId="4" type="noConversion"/>
  </si>
  <si>
    <t>Processing Cost
Sum</t>
    <phoneticPr fontId="4" type="noConversion"/>
  </si>
  <si>
    <t>Insulation Cost</t>
    <phoneticPr fontId="4" type="noConversion"/>
  </si>
  <si>
    <t>Insulation Cost
Sum</t>
    <phoneticPr fontId="4" type="noConversion"/>
  </si>
  <si>
    <t xml:space="preserve">Cost Work in Progress </t>
    <phoneticPr fontId="4" type="noConversion"/>
  </si>
  <si>
    <t>Manufacturing Cost</t>
    <phoneticPr fontId="4" type="noConversion"/>
  </si>
  <si>
    <r>
      <rPr>
        <sz val="10"/>
        <rFont val="돋움"/>
        <family val="3"/>
        <charset val="129"/>
      </rPr>
      <t>제조원가</t>
    </r>
    <phoneticPr fontId="4" type="noConversion"/>
  </si>
  <si>
    <t>Name</t>
  </si>
  <si>
    <t>W</t>
    <phoneticPr fontId="4" type="noConversion"/>
  </si>
  <si>
    <t>L</t>
    <phoneticPr fontId="4" type="noConversion"/>
  </si>
  <si>
    <t>T_H</t>
    <phoneticPr fontId="4" type="noConversion"/>
  </si>
  <si>
    <t>WT(KG)</t>
    <phoneticPr fontId="6" type="noConversion"/>
  </si>
  <si>
    <t>PRICE</t>
    <phoneticPr fontId="4" type="noConversion"/>
  </si>
  <si>
    <t>G/C(g)</t>
    <phoneticPr fontId="4" type="noConversion"/>
  </si>
  <si>
    <t>PkG MAT</t>
    <phoneticPr fontId="4" type="noConversion"/>
  </si>
  <si>
    <t>Processing</t>
    <phoneticPr fontId="4" type="noConversion"/>
  </si>
  <si>
    <t>After Molding</t>
    <phoneticPr fontId="4" type="noConversion"/>
  </si>
  <si>
    <t>After 
Drilling</t>
    <phoneticPr fontId="4" type="noConversion"/>
  </si>
  <si>
    <t>After 
Insulation</t>
    <phoneticPr fontId="4" type="noConversion"/>
  </si>
  <si>
    <t>Non-Insulated Panel</t>
    <phoneticPr fontId="4" type="noConversion"/>
  </si>
  <si>
    <t>Insulated Panel</t>
    <phoneticPr fontId="4" type="noConversion"/>
  </si>
  <si>
    <r>
      <rPr>
        <sz val="10"/>
        <rFont val="돋움"/>
        <family val="3"/>
        <charset val="129"/>
      </rPr>
      <t>단</t>
    </r>
    <r>
      <rPr>
        <sz val="10"/>
        <rFont val="Tahoma"/>
        <family val="2"/>
      </rPr>
      <t xml:space="preserve">  </t>
    </r>
    <r>
      <rPr>
        <sz val="10"/>
        <rFont val="돋움"/>
        <family val="3"/>
        <charset val="129"/>
      </rPr>
      <t>판</t>
    </r>
    <phoneticPr fontId="4" type="noConversion"/>
  </si>
  <si>
    <r>
      <rPr>
        <sz val="10"/>
        <rFont val="돋움"/>
        <family val="3"/>
        <charset val="129"/>
      </rPr>
      <t>보</t>
    </r>
    <r>
      <rPr>
        <sz val="10"/>
        <rFont val="Tahoma"/>
        <family val="2"/>
      </rPr>
      <t xml:space="preserve">  </t>
    </r>
    <r>
      <rPr>
        <sz val="10"/>
        <rFont val="돋움"/>
        <family val="3"/>
        <charset val="129"/>
      </rPr>
      <t>온</t>
    </r>
    <r>
      <rPr>
        <sz val="10"/>
        <rFont val="Tahoma"/>
        <family val="2"/>
      </rPr>
      <t xml:space="preserve"> </t>
    </r>
    <phoneticPr fontId="4" type="noConversion"/>
  </si>
  <si>
    <t>Manhole(1m x 1m)</t>
    <phoneticPr fontId="6" type="noConversion"/>
  </si>
  <si>
    <t>000</t>
    <phoneticPr fontId="4" type="noConversion"/>
  </si>
  <si>
    <t>Roof(1x1M)</t>
    <phoneticPr fontId="6" type="noConversion"/>
  </si>
  <si>
    <t>Base(1x1M)</t>
    <phoneticPr fontId="6" type="noConversion"/>
  </si>
  <si>
    <t>FLAT HALF(0.5x1M)</t>
    <phoneticPr fontId="6" type="noConversion"/>
  </si>
  <si>
    <t>Nozzle_Drain(1x1m)</t>
    <phoneticPr fontId="6" type="noConversion"/>
  </si>
  <si>
    <t>Side(1m x 1m)</t>
    <phoneticPr fontId="6" type="noConversion"/>
  </si>
  <si>
    <t>Partition(0.93x1.0m)</t>
    <phoneticPr fontId="6" type="noConversion"/>
  </si>
  <si>
    <t>Flange_H</t>
    <phoneticPr fontId="4" type="noConversion"/>
  </si>
  <si>
    <t>Direct labor cost</t>
    <phoneticPr fontId="4" type="noConversion"/>
  </si>
  <si>
    <t>Hr/Day</t>
    <phoneticPr fontId="4" type="noConversion"/>
  </si>
  <si>
    <t>Normial Working days/ Month</t>
    <phoneticPr fontId="4" type="noConversion"/>
  </si>
  <si>
    <t>* Working time</t>
    <phoneticPr fontId="4" type="noConversion"/>
  </si>
  <si>
    <r>
      <rPr>
        <sz val="13"/>
        <rFont val="굴림체"/>
        <family val="3"/>
        <charset val="129"/>
      </rPr>
      <t>비고</t>
    </r>
    <phoneticPr fontId="4" type="noConversion"/>
  </si>
  <si>
    <t>Indirect labor cost</t>
    <phoneticPr fontId="4" type="noConversion"/>
  </si>
  <si>
    <t>20 days</t>
    <phoneticPr fontId="4" type="noConversion"/>
  </si>
  <si>
    <t>4 days</t>
    <phoneticPr fontId="4" type="noConversion"/>
  </si>
  <si>
    <t>Working time</t>
    <phoneticPr fontId="4" type="noConversion"/>
  </si>
  <si>
    <t>other employee benefits</t>
    <phoneticPr fontId="4" type="noConversion"/>
  </si>
  <si>
    <t>indirect labor cost</t>
    <phoneticPr fontId="4" type="noConversion"/>
  </si>
  <si>
    <t>Rate / Hr * Person</t>
    <phoneticPr fontId="4" type="noConversion"/>
  </si>
  <si>
    <t>Regular Time(Week days)</t>
    <phoneticPr fontId="4" type="noConversion"/>
  </si>
  <si>
    <t>Overtime Time</t>
    <phoneticPr fontId="4" type="noConversion"/>
  </si>
  <si>
    <t>Cost/year</t>
    <phoneticPr fontId="4" type="noConversion"/>
  </si>
  <si>
    <t>Cost/Mon</t>
    <phoneticPr fontId="4" type="noConversion"/>
  </si>
  <si>
    <t>Remark</t>
    <phoneticPr fontId="4" type="noConversion"/>
  </si>
  <si>
    <t>CONFIDENTIAL</t>
    <phoneticPr fontId="4" type="noConversion"/>
  </si>
  <si>
    <t>Press machine</t>
    <phoneticPr fontId="3" type="noConversion"/>
  </si>
  <si>
    <t>Buying Price</t>
    <phoneticPr fontId="4" type="noConversion"/>
  </si>
  <si>
    <t xml:space="preserve">  PRESS MACHINE(FIXED EXPENSE/MONTH)</t>
    <phoneticPr fontId="4" type="noConversion"/>
  </si>
  <si>
    <t>1. Depreciation</t>
    <phoneticPr fontId="4" type="noConversion"/>
  </si>
  <si>
    <t xml:space="preserve">3.repair &amp; maintenance </t>
    <phoneticPr fontId="4" type="noConversion"/>
  </si>
  <si>
    <t>Depreciation*20%</t>
    <phoneticPr fontId="4" type="noConversion"/>
  </si>
  <si>
    <t>1500 TON</t>
    <phoneticPr fontId="3" type="noConversion"/>
  </si>
  <si>
    <t>Total</t>
    <phoneticPr fontId="3" type="noConversion"/>
  </si>
  <si>
    <t>4.Eletricity cost(Fixed)</t>
    <phoneticPr fontId="4" type="noConversion"/>
  </si>
  <si>
    <t>5. Other expense</t>
    <phoneticPr fontId="4" type="noConversion"/>
  </si>
  <si>
    <t>2. Other Depreciation
(Buliding,auxiliary machinaries and tools)</t>
    <phoneticPr fontId="4" type="noConversion"/>
  </si>
  <si>
    <t xml:space="preserve">  PRESS MACHINE(VARIABLE EXPENSE/MONTH)</t>
    <phoneticPr fontId="4" type="noConversion"/>
  </si>
  <si>
    <t>Production time/ Month</t>
    <phoneticPr fontId="4" type="noConversion"/>
  </si>
  <si>
    <t>TOTAL</t>
    <phoneticPr fontId="3" type="noConversion"/>
  </si>
  <si>
    <t>WORKING TIME
(Week days)</t>
    <phoneticPr fontId="4" type="noConversion"/>
  </si>
  <si>
    <t>Production time/ DAY</t>
    <phoneticPr fontId="4" type="noConversion"/>
  </si>
  <si>
    <t>Working Days/Month</t>
    <phoneticPr fontId="4" type="noConversion"/>
  </si>
  <si>
    <t>WORKING TIME
(Saturday)</t>
    <phoneticPr fontId="4" type="noConversion"/>
  </si>
  <si>
    <t>1. Press Production time</t>
    <phoneticPr fontId="3" type="noConversion"/>
  </si>
  <si>
    <t>2. Variable Expense</t>
    <phoneticPr fontId="3" type="noConversion"/>
  </si>
  <si>
    <t>Expense / Month</t>
    <phoneticPr fontId="3" type="noConversion"/>
  </si>
  <si>
    <t>Expense /HR</t>
    <phoneticPr fontId="3" type="noConversion"/>
  </si>
  <si>
    <t>1. Consumables cost
(Cutter, Ink and etc)</t>
    <phoneticPr fontId="3" type="noConversion"/>
  </si>
  <si>
    <t>2. Electricity cost(Variable expense)</t>
    <phoneticPr fontId="3" type="noConversion"/>
  </si>
  <si>
    <t>3.Others(waste contribution, etc)</t>
    <phoneticPr fontId="3" type="noConversion"/>
  </si>
  <si>
    <t>Consumables cost</t>
    <phoneticPr fontId="4" type="noConversion"/>
  </si>
  <si>
    <t>Electricity cost
(Variable expense)</t>
    <phoneticPr fontId="4" type="noConversion"/>
  </si>
  <si>
    <t>Others(waste contribution, etc)</t>
    <phoneticPr fontId="4" type="noConversion"/>
  </si>
  <si>
    <t>Total/HR</t>
    <phoneticPr fontId="3" type="noConversion"/>
  </si>
  <si>
    <t>3. PRESS MACHINE(VARIABLE EXPENSE/HR)</t>
    <phoneticPr fontId="3" type="noConversion"/>
  </si>
  <si>
    <t xml:space="preserve">  3. PRESS MACHINE(TOTAL EXPENSE/MONTH)</t>
    <phoneticPr fontId="4" type="noConversion"/>
  </si>
  <si>
    <t>MACHINE</t>
    <phoneticPr fontId="3" type="noConversion"/>
  </si>
  <si>
    <t>Fixed expense/HR</t>
    <phoneticPr fontId="3" type="noConversion"/>
  </si>
  <si>
    <t>Fixed expense/Month</t>
    <phoneticPr fontId="3" type="noConversion"/>
  </si>
  <si>
    <t>Variable expense/HR</t>
    <phoneticPr fontId="3" type="noConversion"/>
  </si>
  <si>
    <t>Time available  / Days</t>
    <phoneticPr fontId="3" type="noConversion"/>
  </si>
  <si>
    <t>Working days / Year</t>
    <phoneticPr fontId="3" type="noConversion"/>
  </si>
  <si>
    <t>Days</t>
    <phoneticPr fontId="3" type="noConversion"/>
  </si>
  <si>
    <t>Hours</t>
    <phoneticPr fontId="3" type="noConversion"/>
  </si>
  <si>
    <t>Planned availability</t>
    <phoneticPr fontId="3" type="noConversion"/>
  </si>
  <si>
    <t>%</t>
    <phoneticPr fontId="3" type="noConversion"/>
  </si>
  <si>
    <t>Months/year</t>
    <phoneticPr fontId="3" type="noConversion"/>
  </si>
  <si>
    <t>Month</t>
    <phoneticPr fontId="3" type="noConversion"/>
  </si>
  <si>
    <t>Planned Time available /Month</t>
    <phoneticPr fontId="3" type="noConversion"/>
  </si>
  <si>
    <t>Total expense/HR</t>
    <phoneticPr fontId="3" type="noConversion"/>
  </si>
  <si>
    <t>Boiler Expense/HR</t>
    <phoneticPr fontId="3" type="noConversion"/>
  </si>
  <si>
    <t>KW</t>
    <phoneticPr fontId="3" type="noConversion"/>
  </si>
  <si>
    <t>1. Electricity cost (Fixed Basic fare)</t>
    <phoneticPr fontId="3" type="noConversion"/>
  </si>
  <si>
    <t>Contracted Power consumption</t>
    <phoneticPr fontId="3" type="noConversion"/>
  </si>
  <si>
    <t>US$/ KWH</t>
    <phoneticPr fontId="3" type="noConversion"/>
  </si>
  <si>
    <t>Electricity cost (Fixed Basic fare)</t>
    <phoneticPr fontId="3" type="noConversion"/>
  </si>
  <si>
    <t>USD 0.1/KW</t>
    <phoneticPr fontId="3" type="noConversion"/>
  </si>
  <si>
    <t>Direct Labor rate</t>
    <phoneticPr fontId="4" type="noConversion"/>
  </si>
  <si>
    <t>/HR</t>
    <phoneticPr fontId="3" type="noConversion"/>
  </si>
  <si>
    <t>Paid leave cost
(Monthly, Annual leave)</t>
    <phoneticPr fontId="4" type="noConversion"/>
  </si>
  <si>
    <t>Regular Time(Saturday)</t>
    <phoneticPr fontId="4" type="noConversion"/>
  </si>
  <si>
    <r>
      <rPr>
        <b/>
        <sz val="11"/>
        <rFont val="굴림체"/>
        <family val="3"/>
        <charset val="129"/>
      </rPr>
      <t>계</t>
    </r>
    <phoneticPr fontId="4" type="noConversion"/>
  </si>
  <si>
    <t>* Wage rate</t>
    <phoneticPr fontId="4" type="noConversion"/>
  </si>
  <si>
    <t>/Hr</t>
    <phoneticPr fontId="3" type="noConversion"/>
  </si>
  <si>
    <t>Indirect Labor rate</t>
    <phoneticPr fontId="4" type="noConversion"/>
  </si>
  <si>
    <t>Press Machine</t>
    <phoneticPr fontId="3" type="noConversion"/>
  </si>
  <si>
    <t>Equipment Cost/Hr</t>
    <phoneticPr fontId="3" type="noConversion"/>
  </si>
  <si>
    <t>Molding Processing Cost</t>
    <phoneticPr fontId="4" type="noConversion"/>
  </si>
  <si>
    <t>Prodcution Q'ty/Hr</t>
    <phoneticPr fontId="3" type="noConversion"/>
  </si>
  <si>
    <t>Equipment Cost/each Product</t>
    <phoneticPr fontId="3" type="noConversion"/>
  </si>
  <si>
    <t>No. of Labors</t>
    <phoneticPr fontId="3" type="noConversion"/>
  </si>
  <si>
    <t>1 persons</t>
    <phoneticPr fontId="4" type="noConversion"/>
  </si>
  <si>
    <t>1/2 Person</t>
    <phoneticPr fontId="3" type="noConversion"/>
  </si>
  <si>
    <t>Labor Cost/Hr</t>
    <phoneticPr fontId="3" type="noConversion"/>
  </si>
  <si>
    <t>Labor Cost/each Product</t>
    <phoneticPr fontId="3" type="noConversion"/>
  </si>
  <si>
    <t>Total Processing Cost</t>
    <phoneticPr fontId="3" type="noConversion"/>
  </si>
  <si>
    <t>Drilling Machine(FIXED EXPENSE/MONTH)</t>
    <phoneticPr fontId="4" type="noConversion"/>
  </si>
  <si>
    <t xml:space="preserve"> Machinary</t>
    <phoneticPr fontId="3" type="noConversion"/>
  </si>
  <si>
    <t>Drilling Machine</t>
    <phoneticPr fontId="3" type="noConversion"/>
  </si>
  <si>
    <t>3. Drilling Machine(VARIABLE EXPENSE/HR)</t>
    <phoneticPr fontId="3" type="noConversion"/>
  </si>
  <si>
    <t>Raw Material
(Insulation Skin)</t>
    <phoneticPr fontId="4" type="noConversion"/>
  </si>
  <si>
    <t>Raw Material
(MDI)</t>
    <phoneticPr fontId="4" type="noConversion"/>
  </si>
  <si>
    <t>Raw Material
(POLYOL)</t>
    <phoneticPr fontId="4" type="noConversion"/>
  </si>
  <si>
    <t>Drilling Machine(VARIABLE EXPENSE/MONTH)</t>
    <phoneticPr fontId="4" type="noConversion"/>
  </si>
  <si>
    <t xml:space="preserve"> </t>
    <phoneticPr fontId="3" type="noConversion"/>
  </si>
  <si>
    <t>Drilling Processing Cost</t>
    <phoneticPr fontId="3" type="noConversion"/>
  </si>
  <si>
    <t>Side(1m x 1.5m)</t>
    <phoneticPr fontId="6" type="noConversion"/>
  </si>
  <si>
    <t>Side(1m x 2.0m)</t>
    <phoneticPr fontId="6" type="noConversion"/>
  </si>
  <si>
    <t>MF00</t>
    <phoneticPr fontId="4" type="noConversion"/>
  </si>
  <si>
    <t>RF00</t>
    <phoneticPr fontId="4" type="noConversion"/>
  </si>
  <si>
    <t>BF10</t>
    <phoneticPr fontId="4" type="noConversion"/>
  </si>
  <si>
    <t>BF20</t>
    <phoneticPr fontId="4" type="noConversion"/>
  </si>
  <si>
    <t>BF30</t>
    <phoneticPr fontId="4" type="noConversion"/>
  </si>
  <si>
    <t>BF40</t>
    <phoneticPr fontId="4" type="noConversion"/>
  </si>
  <si>
    <t>NH15</t>
    <phoneticPr fontId="4" type="noConversion"/>
  </si>
  <si>
    <t>NH25</t>
    <phoneticPr fontId="4" type="noConversion"/>
  </si>
  <si>
    <t>NH35</t>
    <phoneticPr fontId="4" type="noConversion"/>
  </si>
  <si>
    <t>NH40</t>
    <phoneticPr fontId="4" type="noConversion"/>
  </si>
  <si>
    <t>NF10</t>
    <phoneticPr fontId="4" type="noConversion"/>
  </si>
  <si>
    <t>NF20</t>
    <phoneticPr fontId="4" type="noConversion"/>
  </si>
  <si>
    <t>NF30</t>
    <phoneticPr fontId="3" type="noConversion"/>
  </si>
  <si>
    <t>NF40</t>
    <phoneticPr fontId="3" type="noConversion"/>
  </si>
  <si>
    <t>SF10</t>
    <phoneticPr fontId="4" type="noConversion"/>
  </si>
  <si>
    <t>SF20</t>
    <phoneticPr fontId="4" type="noConversion"/>
  </si>
  <si>
    <t>SF30</t>
    <phoneticPr fontId="4" type="noConversion"/>
  </si>
  <si>
    <t>SF40</t>
    <phoneticPr fontId="4" type="noConversion"/>
  </si>
  <si>
    <t>PF10</t>
    <phoneticPr fontId="4" type="noConversion"/>
  </si>
  <si>
    <t>PF20</t>
    <phoneticPr fontId="4" type="noConversion"/>
  </si>
  <si>
    <t>PF30</t>
    <phoneticPr fontId="4" type="noConversion"/>
  </si>
  <si>
    <t>PF40</t>
    <phoneticPr fontId="4" type="noConversion"/>
  </si>
  <si>
    <t>SL15</t>
    <phoneticPr fontId="3" type="noConversion"/>
  </si>
  <si>
    <t>ST20</t>
    <phoneticPr fontId="3" type="noConversion"/>
  </si>
  <si>
    <t>1200 TON</t>
    <phoneticPr fontId="3" type="noConversion"/>
  </si>
  <si>
    <t>800TON</t>
    <phoneticPr fontId="3" type="noConversion"/>
  </si>
  <si>
    <t>800 TON</t>
    <phoneticPr fontId="3" type="noConversion"/>
  </si>
  <si>
    <t>TOTAL</t>
    <phoneticPr fontId="4" type="noConversion"/>
  </si>
  <si>
    <t>5 year</t>
    <phoneticPr fontId="4" type="noConversion"/>
  </si>
  <si>
    <t>1200ton, 800ton, 800ton</t>
    <phoneticPr fontId="3" type="noConversion"/>
  </si>
  <si>
    <t>KWD 0.1/KW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</si>
</sst>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_-;\-* #,##0.0_-;_-* &quot;-&quot;_-;_-@_-"/>
    <numFmt numFmtId="177" formatCode="0.0"/>
    <numFmt numFmtId="178" formatCode="_-&quot;US$&quot;* #,##0.00_ ;_-&quot;US$&quot;* \-#,##0.00\ ;_-&quot;US$&quot;* &quot;-&quot;??_ ;_-@_ "/>
    <numFmt numFmtId="179" formatCode="_-* #,##0.00_-;\-* #,##0.00_-;_-* &quot;-&quot;_-;_-@_-"/>
    <numFmt numFmtId="180" formatCode="_-* #,##0_-;\-* #,##0_-;_-* &quot;-&quot;??_-;_-@_-"/>
    <numFmt numFmtId="181" formatCode="[$KWD]\ #,##0.00_);[Red]\([$KWD]\ #,##0.00\)"/>
    <numFmt numFmtId="182" formatCode="_-[$KWD]\ * #,##0.00_-;\-[$KWD]\ * #,##0.00_-;_-[$KWD]\ * &quot;-&quot;??_-;_-@_-"/>
    <numFmt numFmtId="183" formatCode="_-[$KWD]\ * #,##0.000_-;\-[$KWD]\ * #,##0.000_-;_-[$KWD]\ * &quot;-&quot;??_-;_-@_-"/>
    <numFmt numFmtId="184" formatCode="[$KWD]\ #,##0.000_);[Red]\([$KWD]\ #,##0.0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Tahoma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Tahoma"/>
      <family val="2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indexed="8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sz val="10"/>
      <name val="Tahoma"/>
      <family val="3"/>
    </font>
    <font>
      <sz val="10"/>
      <name val="돋움"/>
      <family val="3"/>
      <charset val="129"/>
    </font>
    <font>
      <sz val="11"/>
      <name val="Tahoma"/>
      <family val="2"/>
    </font>
    <font>
      <b/>
      <sz val="11"/>
      <color rgb="FFFF0000"/>
      <name val="Tahoma"/>
      <family val="2"/>
    </font>
    <font>
      <sz val="11"/>
      <color theme="1"/>
      <name val="맑은 고딕"/>
      <family val="2"/>
      <charset val="129"/>
      <scheme val="minor"/>
    </font>
    <font>
      <sz val="13"/>
      <name val="굴림체"/>
      <family val="3"/>
      <charset val="129"/>
    </font>
    <font>
      <b/>
      <sz val="11"/>
      <name val="굴림체"/>
      <family val="3"/>
      <charset val="129"/>
    </font>
    <font>
      <b/>
      <sz val="20"/>
      <name val="Tahoma"/>
      <family val="2"/>
    </font>
    <font>
      <b/>
      <sz val="15"/>
      <name val="Tahoma"/>
      <family val="2"/>
    </font>
    <font>
      <sz val="13"/>
      <name val="Tahoma"/>
      <family val="2"/>
    </font>
    <font>
      <b/>
      <sz val="11"/>
      <name val="Tahoma"/>
      <family val="2"/>
    </font>
    <font>
      <b/>
      <sz val="13"/>
      <name val="Tahoma"/>
      <family val="2"/>
    </font>
    <font>
      <b/>
      <sz val="14"/>
      <name val="Tahoma"/>
      <family val="2"/>
    </font>
    <font>
      <b/>
      <sz val="14"/>
      <name val="Tahoma"/>
      <family val="3"/>
    </font>
    <font>
      <b/>
      <sz val="11"/>
      <name val="돋움"/>
      <family val="3"/>
      <charset val="129"/>
    </font>
    <font>
      <b/>
      <sz val="13"/>
      <name val="돋움"/>
      <family val="3"/>
      <charset val="129"/>
    </font>
    <font>
      <b/>
      <sz val="12"/>
      <name val="돋움"/>
      <family val="3"/>
      <charset val="129"/>
    </font>
    <font>
      <b/>
      <sz val="3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2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/>
    <xf numFmtId="0" fontId="7" fillId="0" borderId="0"/>
    <xf numFmtId="41" fontId="7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0" borderId="0" xfId="1" applyFont="1"/>
    <xf numFmtId="0" fontId="5" fillId="0" borderId="1" xfId="1" applyFont="1" applyBorder="1" applyAlignment="1">
      <alignment horizontal="center" vertical="center" wrapText="1"/>
    </xf>
    <xf numFmtId="176" fontId="8" fillId="2" borderId="1" xfId="3" applyNumberFormat="1" applyFont="1" applyFill="1" applyBorder="1" applyAlignment="1">
      <alignment horizontal="center" vertical="center" wrapText="1"/>
    </xf>
    <xf numFmtId="41" fontId="10" fillId="3" borderId="1" xfId="3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41" fontId="8" fillId="0" borderId="1" xfId="3" applyFont="1" applyFill="1" applyBorder="1" applyAlignment="1">
      <alignment horizontal="center" vertical="center" wrapText="1"/>
    </xf>
    <xf numFmtId="41" fontId="10" fillId="0" borderId="1" xfId="3" applyFont="1" applyFill="1" applyBorder="1" applyAlignment="1">
      <alignment horizontal="center" vertical="top" wrapText="1"/>
    </xf>
    <xf numFmtId="41" fontId="10" fillId="0" borderId="1" xfId="3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left"/>
    </xf>
    <xf numFmtId="0" fontId="13" fillId="0" borderId="1" xfId="1" applyFont="1" applyBorder="1" applyAlignment="1">
      <alignment horizontal="left" vertical="center"/>
    </xf>
    <xf numFmtId="177" fontId="13" fillId="0" borderId="1" xfId="1" quotePrefix="1" applyNumberFormat="1" applyFont="1" applyBorder="1" applyAlignment="1">
      <alignment horizontal="center"/>
    </xf>
    <xf numFmtId="0" fontId="13" fillId="2" borderId="1" xfId="1" applyFont="1" applyFill="1" applyBorder="1"/>
    <xf numFmtId="0" fontId="13" fillId="3" borderId="1" xfId="1" applyFont="1" applyFill="1" applyBorder="1"/>
    <xf numFmtId="0" fontId="13" fillId="0" borderId="1" xfId="1" applyFont="1" applyBorder="1"/>
    <xf numFmtId="0" fontId="13" fillId="0" borderId="0" xfId="1" applyFont="1"/>
    <xf numFmtId="0" fontId="13" fillId="0" borderId="1" xfId="1" applyFont="1" applyBorder="1" applyAlignment="1">
      <alignment vertical="center"/>
    </xf>
    <xf numFmtId="0" fontId="13" fillId="0" borderId="1" xfId="1" applyFont="1" applyBorder="1" applyAlignment="1">
      <alignment horizontal="center"/>
    </xf>
    <xf numFmtId="0" fontId="13" fillId="0" borderId="1" xfId="1" applyFont="1" applyBorder="1" applyAlignment="1">
      <alignment vertical="center" wrapText="1"/>
    </xf>
    <xf numFmtId="0" fontId="14" fillId="0" borderId="1" xfId="1" applyFont="1" applyBorder="1" applyAlignment="1">
      <alignment horizontal="center"/>
    </xf>
    <xf numFmtId="41" fontId="8" fillId="0" borderId="1" xfId="3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4" applyNumberFormat="1" applyFont="1">
      <alignment vertical="center"/>
    </xf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76" fontId="13" fillId="0" borderId="0" xfId="4" applyNumberFormat="1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6" fontId="20" fillId="4" borderId="0" xfId="4" applyNumberFormat="1" applyFont="1" applyFill="1" applyBorder="1" applyAlignment="1">
      <alignment horizontal="center" vertical="center"/>
    </xf>
    <xf numFmtId="176" fontId="20" fillId="0" borderId="0" xfId="4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1" fillId="5" borderId="1" xfId="4" applyNumberFormat="1" applyFont="1" applyFill="1" applyBorder="1" applyAlignment="1">
      <alignment horizontal="center" vertical="center"/>
    </xf>
    <xf numFmtId="176" fontId="21" fillId="4" borderId="0" xfId="4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176" fontId="20" fillId="0" borderId="1" xfId="4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2" fillId="5" borderId="1" xfId="0" applyFont="1" applyFill="1" applyBorder="1" applyAlignment="1">
      <alignment horizontal="center" vertical="center"/>
    </xf>
    <xf numFmtId="41" fontId="22" fillId="5" borderId="1" xfId="0" applyNumberFormat="1" applyFont="1" applyFill="1" applyBorder="1" applyAlignment="1">
      <alignment horizontal="center" vertical="center"/>
    </xf>
    <xf numFmtId="176" fontId="20" fillId="0" borderId="0" xfId="4" applyNumberFormat="1" applyFont="1">
      <alignment vertical="center"/>
    </xf>
    <xf numFmtId="0" fontId="20" fillId="0" borderId="0" xfId="0" applyFont="1">
      <alignment vertical="center"/>
    </xf>
    <xf numFmtId="41" fontId="20" fillId="0" borderId="0" xfId="4" applyFont="1" applyBorder="1">
      <alignment vertical="center"/>
    </xf>
    <xf numFmtId="176" fontId="20" fillId="0" borderId="0" xfId="4" applyNumberFormat="1" applyFont="1" applyBorder="1" applyAlignment="1">
      <alignment horizontal="center" vertical="center"/>
    </xf>
    <xf numFmtId="178" fontId="20" fillId="0" borderId="1" xfId="4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78" fontId="22" fillId="5" borderId="1" xfId="4" applyNumberFormat="1" applyFont="1" applyFill="1" applyBorder="1">
      <alignment vertical="center"/>
    </xf>
    <xf numFmtId="41" fontId="25" fillId="0" borderId="0" xfId="3" applyFont="1" applyAlignment="1">
      <alignment vertical="center"/>
    </xf>
    <xf numFmtId="41" fontId="25" fillId="0" borderId="0" xfId="3" applyFont="1" applyBorder="1" applyAlignment="1">
      <alignment vertical="center"/>
    </xf>
    <xf numFmtId="41" fontId="26" fillId="0" borderId="0" xfId="3" applyFont="1" applyAlignment="1">
      <alignment horizontal="center" vertical="center"/>
    </xf>
    <xf numFmtId="41" fontId="26" fillId="0" borderId="0" xfId="3" applyFont="1" applyAlignment="1">
      <alignment vertical="center"/>
    </xf>
    <xf numFmtId="41" fontId="27" fillId="0" borderId="0" xfId="3" applyFont="1" applyBorder="1" applyAlignment="1">
      <alignment vertical="center"/>
    </xf>
    <xf numFmtId="41" fontId="27" fillId="0" borderId="0" xfId="3" applyFont="1" applyAlignment="1">
      <alignment vertical="center"/>
    </xf>
    <xf numFmtId="41" fontId="28" fillId="0" borderId="0" xfId="3" applyFont="1" applyAlignment="1">
      <alignment vertical="center"/>
    </xf>
    <xf numFmtId="41" fontId="21" fillId="0" borderId="0" xfId="3" applyFont="1" applyAlignment="1">
      <alignment vertical="center"/>
    </xf>
    <xf numFmtId="41" fontId="28" fillId="0" borderId="0" xfId="3" applyFont="1" applyBorder="1" applyAlignment="1">
      <alignment vertical="center"/>
    </xf>
    <xf numFmtId="41" fontId="21" fillId="0" borderId="0" xfId="3" applyFont="1" applyBorder="1" applyAlignment="1">
      <alignment vertical="center"/>
    </xf>
    <xf numFmtId="14" fontId="21" fillId="0" borderId="0" xfId="3" applyNumberFormat="1" applyFont="1" applyBorder="1" applyAlignment="1">
      <alignment horizontal="right" vertical="center"/>
    </xf>
    <xf numFmtId="41" fontId="22" fillId="0" borderId="1" xfId="3" applyFont="1" applyBorder="1" applyAlignment="1">
      <alignment horizontal="center" vertical="center"/>
    </xf>
    <xf numFmtId="41" fontId="22" fillId="0" borderId="1" xfId="3" applyFont="1" applyBorder="1" applyAlignment="1">
      <alignment horizontal="center" vertical="center" wrapText="1"/>
    </xf>
    <xf numFmtId="41" fontId="22" fillId="0" borderId="0" xfId="3" applyFont="1" applyAlignment="1">
      <alignment horizontal="center" vertical="center"/>
    </xf>
    <xf numFmtId="41" fontId="22" fillId="0" borderId="3" xfId="3" applyFont="1" applyBorder="1" applyAlignment="1">
      <alignment horizontal="center" vertical="center"/>
    </xf>
    <xf numFmtId="179" fontId="22" fillId="0" borderId="3" xfId="3" applyNumberFormat="1" applyFont="1" applyBorder="1" applyAlignment="1">
      <alignment horizontal="center" vertical="center"/>
    </xf>
    <xf numFmtId="180" fontId="22" fillId="0" borderId="3" xfId="3" applyNumberFormat="1" applyFont="1" applyBorder="1" applyAlignment="1">
      <alignment horizontal="center" vertical="center"/>
    </xf>
    <xf numFmtId="41" fontId="22" fillId="0" borderId="1" xfId="3" applyFont="1" applyBorder="1" applyAlignment="1">
      <alignment vertical="center"/>
    </xf>
    <xf numFmtId="41" fontId="22" fillId="0" borderId="0" xfId="3" applyFont="1" applyAlignment="1">
      <alignment vertical="center"/>
    </xf>
    <xf numFmtId="41" fontId="29" fillId="0" borderId="0" xfId="3" applyFont="1" applyBorder="1" applyAlignment="1">
      <alignment horizontal="center" vertical="center"/>
    </xf>
    <xf numFmtId="41" fontId="29" fillId="0" borderId="0" xfId="3" applyFont="1" applyBorder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41" fontId="29" fillId="0" borderId="0" xfId="3" applyFont="1" applyAlignment="1">
      <alignment vertical="center"/>
    </xf>
    <xf numFmtId="41" fontId="27" fillId="0" borderId="1" xfId="3" applyFont="1" applyBorder="1" applyAlignment="1">
      <alignment vertical="center"/>
    </xf>
    <xf numFmtId="41" fontId="29" fillId="0" borderId="1" xfId="3" applyFont="1" applyBorder="1" applyAlignment="1">
      <alignment vertical="center"/>
    </xf>
    <xf numFmtId="41" fontId="22" fillId="2" borderId="1" xfId="3" applyFont="1" applyFill="1" applyBorder="1" applyAlignment="1">
      <alignment horizontal="center" vertical="center" wrapText="1"/>
    </xf>
    <xf numFmtId="41" fontId="22" fillId="2" borderId="1" xfId="3" applyFont="1" applyFill="1" applyBorder="1" applyAlignment="1">
      <alignment horizontal="center" vertical="center"/>
    </xf>
    <xf numFmtId="41" fontId="29" fillId="2" borderId="1" xfId="3" applyFont="1" applyFill="1" applyBorder="1" applyAlignment="1">
      <alignment vertical="center"/>
    </xf>
    <xf numFmtId="178" fontId="29" fillId="0" borderId="1" xfId="3" applyNumberFormat="1" applyFont="1" applyBorder="1" applyAlignment="1">
      <alignment vertical="center"/>
    </xf>
    <xf numFmtId="178" fontId="30" fillId="0" borderId="1" xfId="3" applyNumberFormat="1" applyFont="1" applyBorder="1" applyAlignment="1">
      <alignment vertical="center" wrapText="1"/>
    </xf>
    <xf numFmtId="178" fontId="30" fillId="0" borderId="1" xfId="3" applyNumberFormat="1" applyFont="1" applyBorder="1" applyAlignment="1">
      <alignment vertical="center"/>
    </xf>
    <xf numFmtId="41" fontId="27" fillId="0" borderId="5" xfId="3" applyFont="1" applyBorder="1" applyAlignment="1">
      <alignment vertical="center"/>
    </xf>
    <xf numFmtId="9" fontId="27" fillId="0" borderId="1" xfId="5" applyFont="1" applyBorder="1" applyAlignment="1">
      <alignment vertical="center"/>
    </xf>
    <xf numFmtId="179" fontId="27" fillId="0" borderId="18" xfId="3" applyNumberFormat="1" applyFont="1" applyBorder="1" applyAlignment="1">
      <alignment vertical="center"/>
    </xf>
    <xf numFmtId="41" fontId="27" fillId="0" borderId="19" xfId="3" applyFont="1" applyBorder="1" applyAlignment="1">
      <alignment vertical="center"/>
    </xf>
    <xf numFmtId="41" fontId="27" fillId="0" borderId="20" xfId="3" applyFont="1" applyBorder="1" applyAlignment="1">
      <alignment vertical="center"/>
    </xf>
    <xf numFmtId="41" fontId="27" fillId="0" borderId="21" xfId="3" applyFont="1" applyBorder="1" applyAlignment="1">
      <alignment vertical="center"/>
    </xf>
    <xf numFmtId="41" fontId="21" fillId="0" borderId="1" xfId="3" applyFont="1" applyBorder="1" applyAlignment="1">
      <alignment horizontal="center" vertical="center"/>
    </xf>
    <xf numFmtId="41" fontId="21" fillId="0" borderId="1" xfId="3" applyFont="1" applyFill="1" applyBorder="1" applyAlignment="1">
      <alignment horizontal="center" vertical="center"/>
    </xf>
    <xf numFmtId="41" fontId="21" fillId="2" borderId="1" xfId="3" applyFont="1" applyFill="1" applyBorder="1" applyAlignment="1">
      <alignment horizontal="center" vertical="center"/>
    </xf>
    <xf numFmtId="41" fontId="29" fillId="6" borderId="1" xfId="3" applyFont="1" applyFill="1" applyBorder="1" applyAlignment="1">
      <alignment vertical="center"/>
    </xf>
    <xf numFmtId="41" fontId="31" fillId="0" borderId="0" xfId="3" applyFont="1" applyAlignment="1">
      <alignment vertical="center"/>
    </xf>
    <xf numFmtId="178" fontId="23" fillId="0" borderId="1" xfId="0" applyNumberFormat="1" applyFont="1" applyBorder="1" applyAlignment="1">
      <alignment horizontal="center" vertical="center"/>
    </xf>
    <xf numFmtId="0" fontId="13" fillId="0" borderId="1" xfId="0" quotePrefix="1" applyFont="1" applyBorder="1">
      <alignment vertical="center"/>
    </xf>
    <xf numFmtId="176" fontId="23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78" fontId="23" fillId="0" borderId="8" xfId="0" applyNumberFormat="1" applyFont="1" applyBorder="1" applyAlignment="1">
      <alignment horizontal="left" vertical="center"/>
    </xf>
    <xf numFmtId="0" fontId="13" fillId="0" borderId="7" xfId="1" applyFont="1" applyBorder="1"/>
    <xf numFmtId="0" fontId="13" fillId="0" borderId="5" xfId="1" applyFont="1" applyBorder="1"/>
    <xf numFmtId="41" fontId="8" fillId="2" borderId="22" xfId="3" applyFont="1" applyFill="1" applyBorder="1" applyAlignment="1">
      <alignment horizontal="center" vertical="center" wrapText="1"/>
    </xf>
    <xf numFmtId="0" fontId="10" fillId="3" borderId="12" xfId="2" applyFont="1" applyFill="1" applyBorder="1" applyAlignment="1">
      <alignment horizontal="center" vertical="center" wrapText="1"/>
    </xf>
    <xf numFmtId="0" fontId="10" fillId="3" borderId="18" xfId="2" applyFont="1" applyFill="1" applyBorder="1" applyAlignment="1">
      <alignment horizontal="center" vertical="center" wrapText="1"/>
    </xf>
    <xf numFmtId="41" fontId="8" fillId="3" borderId="18" xfId="3" applyFont="1" applyFill="1" applyBorder="1" applyAlignment="1">
      <alignment horizontal="center" vertical="center" wrapText="1"/>
    </xf>
    <xf numFmtId="41" fontId="8" fillId="3" borderId="13" xfId="3" applyFont="1" applyFill="1" applyBorder="1" applyAlignment="1">
      <alignment horizontal="center" vertical="center" wrapText="1"/>
    </xf>
    <xf numFmtId="0" fontId="13" fillId="3" borderId="14" xfId="1" applyFont="1" applyFill="1" applyBorder="1"/>
    <xf numFmtId="0" fontId="13" fillId="3" borderId="16" xfId="1" applyFont="1" applyFill="1" applyBorder="1"/>
    <xf numFmtId="41" fontId="8" fillId="7" borderId="12" xfId="3" applyFont="1" applyFill="1" applyBorder="1" applyAlignment="1">
      <alignment horizontal="center" vertical="center" wrapText="1"/>
    </xf>
    <xf numFmtId="41" fontId="8" fillId="7" borderId="18" xfId="3" applyFont="1" applyFill="1" applyBorder="1" applyAlignment="1">
      <alignment horizontal="center" vertical="center" wrapText="1"/>
    </xf>
    <xf numFmtId="41" fontId="8" fillId="7" borderId="13" xfId="3" applyFont="1" applyFill="1" applyBorder="1" applyAlignment="1">
      <alignment horizontal="center" vertical="center" wrapText="1"/>
    </xf>
    <xf numFmtId="0" fontId="13" fillId="7" borderId="14" xfId="1" applyFont="1" applyFill="1" applyBorder="1"/>
    <xf numFmtId="0" fontId="13" fillId="7" borderId="16" xfId="1" applyFont="1" applyFill="1" applyBorder="1"/>
    <xf numFmtId="0" fontId="13" fillId="7" borderId="1" xfId="1" applyFont="1" applyFill="1" applyBorder="1" applyAlignment="1">
      <alignment horizontal="center" vertical="center"/>
    </xf>
    <xf numFmtId="0" fontId="13" fillId="7" borderId="1" xfId="1" applyFont="1" applyFill="1" applyBorder="1" applyAlignment="1">
      <alignment horizontal="left"/>
    </xf>
    <xf numFmtId="0" fontId="13" fillId="7" borderId="1" xfId="1" applyFont="1" applyFill="1" applyBorder="1" applyAlignment="1">
      <alignment vertical="center"/>
    </xf>
    <xf numFmtId="177" fontId="13" fillId="7" borderId="1" xfId="1" quotePrefix="1" applyNumberFormat="1" applyFont="1" applyFill="1" applyBorder="1" applyAlignment="1">
      <alignment horizontal="center"/>
    </xf>
    <xf numFmtId="0" fontId="13" fillId="7" borderId="1" xfId="1" applyFont="1" applyFill="1" applyBorder="1"/>
    <xf numFmtId="0" fontId="13" fillId="7" borderId="5" xfId="1" applyFont="1" applyFill="1" applyBorder="1"/>
    <xf numFmtId="0" fontId="13" fillId="7" borderId="0" xfId="1" applyFont="1" applyFill="1"/>
    <xf numFmtId="181" fontId="9" fillId="2" borderId="1" xfId="2" applyNumberFormat="1" applyFont="1" applyFill="1" applyBorder="1" applyAlignment="1">
      <alignment horizontal="center" vertical="center" wrapText="1"/>
    </xf>
    <xf numFmtId="181" fontId="9" fillId="3" borderId="1" xfId="2" applyNumberFormat="1" applyFont="1" applyFill="1" applyBorder="1" applyAlignment="1">
      <alignment horizontal="center" vertical="center" wrapText="1"/>
    </xf>
    <xf numFmtId="183" fontId="20" fillId="0" borderId="1" xfId="4" applyNumberFormat="1" applyFont="1" applyBorder="1" applyAlignment="1">
      <alignment horizontal="center" vertical="center"/>
    </xf>
    <xf numFmtId="183" fontId="22" fillId="5" borderId="1" xfId="0" applyNumberFormat="1" applyFont="1" applyFill="1" applyBorder="1" applyAlignment="1">
      <alignment horizontal="center" vertical="center"/>
    </xf>
    <xf numFmtId="183" fontId="22" fillId="5" borderId="1" xfId="4" applyNumberFormat="1" applyFont="1" applyFill="1" applyBorder="1">
      <alignment vertical="center"/>
    </xf>
    <xf numFmtId="184" fontId="13" fillId="7" borderId="1" xfId="1" applyNumberFormat="1" applyFont="1" applyFill="1" applyBorder="1"/>
    <xf numFmtId="184" fontId="13" fillId="7" borderId="15" xfId="1" applyNumberFormat="1" applyFont="1" applyFill="1" applyBorder="1"/>
    <xf numFmtId="184" fontId="13" fillId="0" borderId="15" xfId="1" applyNumberFormat="1" applyFont="1" applyBorder="1"/>
    <xf numFmtId="184" fontId="13" fillId="0" borderId="7" xfId="1" applyNumberFormat="1" applyFont="1" applyBorder="1"/>
    <xf numFmtId="184" fontId="13" fillId="7" borderId="7" xfId="1" applyNumberFormat="1" applyFont="1" applyFill="1" applyBorder="1"/>
    <xf numFmtId="184" fontId="13" fillId="7" borderId="20" xfId="1" applyNumberFormat="1" applyFont="1" applyFill="1" applyBorder="1"/>
    <xf numFmtId="184" fontId="13" fillId="7" borderId="17" xfId="1" applyNumberFormat="1" applyFont="1" applyFill="1" applyBorder="1"/>
    <xf numFmtId="184" fontId="13" fillId="0" borderId="17" xfId="1" applyNumberFormat="1" applyFont="1" applyBorder="1"/>
    <xf numFmtId="184" fontId="13" fillId="3" borderId="15" xfId="1" applyNumberFormat="1" applyFont="1" applyFill="1" applyBorder="1"/>
    <xf numFmtId="184" fontId="13" fillId="3" borderId="17" xfId="1" applyNumberFormat="1" applyFont="1" applyFill="1" applyBorder="1"/>
    <xf numFmtId="184" fontId="13" fillId="2" borderId="23" xfId="1" applyNumberFormat="1" applyFont="1" applyFill="1" applyBorder="1"/>
    <xf numFmtId="184" fontId="13" fillId="7" borderId="23" xfId="1" applyNumberFormat="1" applyFont="1" applyFill="1" applyBorder="1"/>
    <xf numFmtId="184" fontId="13" fillId="2" borderId="24" xfId="1" applyNumberFormat="1" applyFont="1" applyFill="1" applyBorder="1"/>
    <xf numFmtId="184" fontId="2" fillId="0" borderId="0" xfId="1" applyNumberFormat="1" applyFont="1"/>
    <xf numFmtId="184" fontId="13" fillId="3" borderId="1" xfId="1" applyNumberFormat="1" applyFont="1" applyFill="1" applyBorder="1"/>
    <xf numFmtId="184" fontId="13" fillId="3" borderId="20" xfId="1" applyNumberFormat="1" applyFont="1" applyFill="1" applyBorder="1"/>
    <xf numFmtId="184" fontId="13" fillId="0" borderId="1" xfId="1" applyNumberFormat="1" applyFont="1" applyBorder="1"/>
    <xf numFmtId="184" fontId="13" fillId="2" borderId="1" xfId="1" applyNumberFormat="1" applyFont="1" applyFill="1" applyBorder="1"/>
    <xf numFmtId="183" fontId="23" fillId="0" borderId="8" xfId="0" applyNumberFormat="1" applyFont="1" applyBorder="1" applyAlignment="1">
      <alignment horizontal="center" vertical="center"/>
    </xf>
    <xf numFmtId="182" fontId="29" fillId="0" borderId="1" xfId="3" applyNumberFormat="1" applyFont="1" applyBorder="1" applyAlignment="1">
      <alignment vertical="center"/>
    </xf>
    <xf numFmtId="182" fontId="29" fillId="6" borderId="1" xfId="3" applyNumberFormat="1" applyFont="1" applyFill="1" applyBorder="1" applyAlignment="1">
      <alignment vertical="center"/>
    </xf>
    <xf numFmtId="182" fontId="29" fillId="2" borderId="1" xfId="3" applyNumberFormat="1" applyFont="1" applyFill="1" applyBorder="1" applyAlignment="1">
      <alignment vertical="center"/>
    </xf>
    <xf numFmtId="182" fontId="21" fillId="0" borderId="1" xfId="3" applyNumberFormat="1" applyFont="1" applyBorder="1" applyAlignment="1">
      <alignment horizontal="center" vertical="center"/>
    </xf>
    <xf numFmtId="182" fontId="21" fillId="0" borderId="1" xfId="3" applyNumberFormat="1" applyFont="1" applyFill="1" applyBorder="1" applyAlignment="1">
      <alignment horizontal="center" vertical="center"/>
    </xf>
    <xf numFmtId="182" fontId="21" fillId="2" borderId="1" xfId="3" applyNumberFormat="1" applyFont="1" applyFill="1" applyBorder="1" applyAlignment="1">
      <alignment horizontal="center" vertical="center"/>
    </xf>
    <xf numFmtId="41" fontId="11" fillId="0" borderId="1" xfId="3" applyFont="1" applyFill="1" applyBorder="1" applyAlignment="1">
      <alignment horizontal="center" vertical="center"/>
    </xf>
    <xf numFmtId="41" fontId="10" fillId="0" borderId="1" xfId="3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1" fontId="8" fillId="0" borderId="9" xfId="3" applyFont="1" applyFill="1" applyBorder="1" applyAlignment="1">
      <alignment horizontal="center" vertical="center" wrapText="1"/>
    </xf>
    <xf numFmtId="41" fontId="8" fillId="0" borderId="25" xfId="3" applyFont="1" applyFill="1" applyBorder="1" applyAlignment="1">
      <alignment horizontal="center" vertical="center" wrapText="1"/>
    </xf>
    <xf numFmtId="41" fontId="8" fillId="0" borderId="1" xfId="3" applyFont="1" applyFill="1" applyBorder="1" applyAlignment="1">
      <alignment horizontal="center" vertical="center"/>
    </xf>
    <xf numFmtId="41" fontId="10" fillId="0" borderId="1" xfId="3" applyFont="1" applyFill="1" applyBorder="1" applyAlignment="1">
      <alignment vertical="center"/>
    </xf>
    <xf numFmtId="41" fontId="8" fillId="0" borderId="1" xfId="3" applyFont="1" applyFill="1" applyBorder="1" applyAlignment="1">
      <alignment horizontal="center" vertical="center" wrapText="1"/>
    </xf>
    <xf numFmtId="41" fontId="8" fillId="0" borderId="10" xfId="3" applyFont="1" applyFill="1" applyBorder="1" applyAlignment="1">
      <alignment horizontal="center" vertical="center"/>
    </xf>
    <xf numFmtId="41" fontId="8" fillId="0" borderId="26" xfId="3" applyFont="1" applyFill="1" applyBorder="1" applyAlignment="1">
      <alignment horizontal="center" vertical="center"/>
    </xf>
    <xf numFmtId="41" fontId="8" fillId="0" borderId="11" xfId="3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176" fontId="20" fillId="0" borderId="1" xfId="4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76" fontId="22" fillId="5" borderId="1" xfId="4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41" fontId="29" fillId="2" borderId="1" xfId="3" applyFont="1" applyFill="1" applyBorder="1" applyAlignment="1">
      <alignment horizontal="center" vertical="center"/>
    </xf>
    <xf numFmtId="41" fontId="27" fillId="0" borderId="14" xfId="3" applyFont="1" applyBorder="1" applyAlignment="1">
      <alignment vertical="center"/>
    </xf>
    <xf numFmtId="41" fontId="27" fillId="0" borderId="1" xfId="3" applyFont="1" applyBorder="1" applyAlignment="1">
      <alignment vertical="center"/>
    </xf>
    <xf numFmtId="41" fontId="27" fillId="0" borderId="16" xfId="3" applyFont="1" applyBorder="1" applyAlignment="1">
      <alignment vertical="center"/>
    </xf>
    <xf numFmtId="41" fontId="27" fillId="0" borderId="20" xfId="3" applyFont="1" applyBorder="1" applyAlignment="1">
      <alignment vertical="center"/>
    </xf>
    <xf numFmtId="41" fontId="27" fillId="0" borderId="12" xfId="3" applyFont="1" applyBorder="1" applyAlignment="1">
      <alignment horizontal="center" vertical="center" wrapText="1"/>
    </xf>
    <xf numFmtId="41" fontId="27" fillId="0" borderId="14" xfId="3" applyFont="1" applyBorder="1" applyAlignment="1">
      <alignment horizontal="center" vertical="center" wrapText="1"/>
    </xf>
    <xf numFmtId="41" fontId="27" fillId="0" borderId="16" xfId="3" applyFont="1" applyBorder="1" applyAlignment="1">
      <alignment horizontal="center" vertical="center" wrapText="1"/>
    </xf>
    <xf numFmtId="41" fontId="27" fillId="2" borderId="13" xfId="3" applyFont="1" applyFill="1" applyBorder="1" applyAlignment="1">
      <alignment horizontal="center" vertical="center"/>
    </xf>
    <xf numFmtId="41" fontId="27" fillId="2" borderId="15" xfId="3" applyFont="1" applyFill="1" applyBorder="1" applyAlignment="1">
      <alignment horizontal="center" vertical="center"/>
    </xf>
    <xf numFmtId="41" fontId="27" fillId="2" borderId="17" xfId="3" applyFont="1" applyFill="1" applyBorder="1" applyAlignment="1">
      <alignment horizontal="center" vertical="center"/>
    </xf>
    <xf numFmtId="41" fontId="29" fillId="0" borderId="1" xfId="3" applyFont="1" applyBorder="1" applyAlignment="1">
      <alignment horizontal="left" vertical="center" wrapText="1"/>
    </xf>
    <xf numFmtId="41" fontId="29" fillId="0" borderId="1" xfId="3" applyFont="1" applyBorder="1" applyAlignment="1">
      <alignment horizontal="left" vertical="center"/>
    </xf>
    <xf numFmtId="41" fontId="31" fillId="0" borderId="1" xfId="3" applyFont="1" applyBorder="1" applyAlignment="1">
      <alignment horizontal="left" vertical="center"/>
    </xf>
    <xf numFmtId="41" fontId="22" fillId="0" borderId="1" xfId="3" applyFont="1" applyBorder="1" applyAlignment="1">
      <alignment horizontal="center" vertical="center"/>
    </xf>
    <xf numFmtId="41" fontId="29" fillId="2" borderId="5" xfId="3" applyFont="1" applyFill="1" applyBorder="1" applyAlignment="1">
      <alignment horizontal="center" vertical="center"/>
    </xf>
    <xf numFmtId="41" fontId="29" fillId="2" borderId="7" xfId="3" applyFont="1" applyFill="1" applyBorder="1" applyAlignment="1">
      <alignment horizontal="center" vertical="center"/>
    </xf>
    <xf numFmtId="41" fontId="28" fillId="0" borderId="0" xfId="3" applyFont="1" applyAlignment="1">
      <alignment horizontal="left" vertical="center"/>
    </xf>
    <xf numFmtId="41" fontId="27" fillId="0" borderId="12" xfId="3" applyFont="1" applyBorder="1" applyAlignment="1">
      <alignment vertical="center"/>
    </xf>
    <xf numFmtId="41" fontId="27" fillId="0" borderId="18" xfId="3" applyFont="1" applyBorder="1" applyAlignment="1">
      <alignment vertical="center"/>
    </xf>
    <xf numFmtId="41" fontId="22" fillId="2" borderId="1" xfId="3" applyFont="1" applyFill="1" applyBorder="1" applyAlignment="1">
      <alignment horizontal="center" vertical="center"/>
    </xf>
    <xf numFmtId="41" fontId="22" fillId="0" borderId="2" xfId="3" applyFont="1" applyBorder="1" applyAlignment="1">
      <alignment horizontal="center" vertical="center"/>
    </xf>
    <xf numFmtId="41" fontId="22" fillId="0" borderId="3" xfId="3" applyFont="1" applyBorder="1" applyAlignment="1">
      <alignment horizontal="center" vertical="center"/>
    </xf>
    <xf numFmtId="41" fontId="29" fillId="0" borderId="1" xfId="3" applyFont="1" applyBorder="1" applyAlignment="1">
      <alignment horizontal="center" vertical="center"/>
    </xf>
    <xf numFmtId="41" fontId="29" fillId="6" borderId="5" xfId="3" applyFont="1" applyFill="1" applyBorder="1" applyAlignment="1">
      <alignment horizontal="center" vertical="center"/>
    </xf>
    <xf numFmtId="41" fontId="29" fillId="6" borderId="7" xfId="3" applyFont="1" applyFill="1" applyBorder="1" applyAlignment="1">
      <alignment horizontal="center" vertical="center"/>
    </xf>
    <xf numFmtId="41" fontId="22" fillId="0" borderId="1" xfId="3" applyFont="1" applyBorder="1" applyAlignment="1">
      <alignment horizontal="center" vertical="center" wrapText="1"/>
    </xf>
  </cellXfs>
  <cellStyles count="6">
    <cellStyle name="Comma [0]" xfId="4" builtinId="6"/>
    <cellStyle name="Normal" xfId="0" builtinId="0"/>
    <cellStyle name="Percent" xfId="5" builtinId="5"/>
    <cellStyle name="쉼표 [0] 2" xfId="3" xr:uid="{D1D8AEB8-2D27-4FD6-ACC7-B8A664F6F95F}"/>
    <cellStyle name="표준 17" xfId="1" xr:uid="{836F3B4E-1D28-4494-8CA4-8878BB54F539}"/>
    <cellStyle name="표준 2 2" xfId="2" xr:uid="{35143EA9-E38C-4A12-BE1D-3E399703A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FE03-0A35-4072-B7F1-37F4DA621584}">
  <sheetPr>
    <tabColor theme="9" tint="0.79998168889431442"/>
  </sheetPr>
  <dimension ref="A1:AR28"/>
  <sheetViews>
    <sheetView tabSelected="1" zoomScale="115" zoomScaleNormal="115" workbookViewId="0">
      <selection activeCell="C5" sqref="C5"/>
    </sheetView>
  </sheetViews>
  <sheetFormatPr defaultColWidth="8.75" defaultRowHeight="14.25" x14ac:dyDescent="0.2"/>
  <cols>
    <col min="1" max="1" width="4.375" style="1" bestFit="1" customWidth="1"/>
    <col min="2" max="2" width="10.625" style="2" bestFit="1" customWidth="1"/>
    <col min="3" max="3" width="19.125" style="2" customWidth="1"/>
    <col min="4" max="8" width="10.625" style="3" customWidth="1"/>
    <col min="9" max="9" width="8.75" style="2"/>
    <col min="10" max="10" width="12.875" style="2" bestFit="1" customWidth="1"/>
    <col min="11" max="11" width="8.75" style="2"/>
    <col min="12" max="12" width="11.75" style="2" bestFit="1" customWidth="1"/>
    <col min="13" max="13" width="12.875" style="2" bestFit="1" customWidth="1"/>
    <col min="14" max="15" width="8.75" style="2"/>
    <col min="16" max="16" width="10" style="2" bestFit="1" customWidth="1"/>
    <col min="17" max="17" width="12.875" style="2" bestFit="1" customWidth="1"/>
    <col min="18" max="18" width="8.75" style="2"/>
    <col min="19" max="19" width="11.75" style="2" bestFit="1" customWidth="1"/>
    <col min="20" max="20" width="6.375" style="2" customWidth="1"/>
    <col min="21" max="21" width="11.75" style="2" bestFit="1" customWidth="1"/>
    <col min="22" max="22" width="14" style="2" bestFit="1" customWidth="1"/>
    <col min="23" max="23" width="12.75" style="2" bestFit="1" customWidth="1"/>
    <col min="24" max="24" width="11.75" style="2" bestFit="1" customWidth="1"/>
    <col min="25" max="25" width="8.75" style="2" customWidth="1"/>
    <col min="26" max="26" width="11.75" style="2" bestFit="1" customWidth="1"/>
    <col min="27" max="27" width="8.75" style="2" customWidth="1"/>
    <col min="28" max="30" width="11.75" style="2" bestFit="1" customWidth="1"/>
    <col min="31" max="31" width="12.875" style="2" bestFit="1" customWidth="1"/>
    <col min="32" max="32" width="12.375" style="2" customWidth="1"/>
    <col min="33" max="34" width="10.375" style="2" customWidth="1"/>
    <col min="35" max="35" width="10.25" style="2" customWidth="1"/>
    <col min="36" max="16384" width="8.75" style="2"/>
  </cols>
  <sheetData>
    <row r="1" spans="1:44" ht="15" thickBot="1" x14ac:dyDescent="0.25">
      <c r="I1" s="168" t="s">
        <v>0</v>
      </c>
      <c r="J1" s="168"/>
      <c r="K1" s="168"/>
      <c r="L1" s="168"/>
      <c r="M1" s="168"/>
      <c r="N1" s="3"/>
    </row>
    <row r="2" spans="1:44" s="8" customFormat="1" ht="17.45" customHeight="1" thickBot="1" x14ac:dyDescent="0.25">
      <c r="A2" s="169" t="s">
        <v>1</v>
      </c>
      <c r="B2" s="170" t="s">
        <v>2</v>
      </c>
      <c r="C2" s="4" t="s">
        <v>3</v>
      </c>
      <c r="D2" s="172" t="s">
        <v>4</v>
      </c>
      <c r="E2" s="172" t="s">
        <v>5</v>
      </c>
      <c r="F2" s="172"/>
      <c r="G2" s="172"/>
      <c r="H2" s="172"/>
      <c r="I2" s="5" t="s">
        <v>6</v>
      </c>
      <c r="J2" s="123">
        <v>5</v>
      </c>
      <c r="K2" s="6" t="s">
        <v>7</v>
      </c>
      <c r="L2" s="124">
        <f>1050/1050/180</f>
        <v>5.5555555555555558E-3</v>
      </c>
      <c r="M2" s="164" t="s">
        <v>8</v>
      </c>
      <c r="N2" s="156" t="s">
        <v>9</v>
      </c>
      <c r="O2" s="158" t="s">
        <v>10</v>
      </c>
      <c r="P2" s="165" t="s">
        <v>122</v>
      </c>
      <c r="Q2" s="166"/>
      <c r="R2" s="166"/>
      <c r="S2" s="166"/>
      <c r="T2" s="166"/>
      <c r="U2" s="166"/>
      <c r="V2" s="166"/>
      <c r="W2" s="167"/>
      <c r="X2" s="166" t="s">
        <v>140</v>
      </c>
      <c r="Y2" s="166"/>
      <c r="Z2" s="166"/>
      <c r="AA2" s="166"/>
      <c r="AB2" s="166"/>
      <c r="AC2" s="166"/>
      <c r="AD2" s="167"/>
      <c r="AE2" s="160" t="s">
        <v>11</v>
      </c>
      <c r="AF2" s="162" t="s">
        <v>12</v>
      </c>
      <c r="AG2" s="162"/>
      <c r="AH2" s="162"/>
      <c r="AI2" s="163"/>
      <c r="AJ2" s="164" t="s">
        <v>13</v>
      </c>
      <c r="AK2" s="153" t="s">
        <v>14</v>
      </c>
      <c r="AL2" s="154"/>
      <c r="AM2" s="154"/>
      <c r="AN2" s="153" t="s">
        <v>15</v>
      </c>
      <c r="AO2" s="154"/>
      <c r="AP2" s="155" t="s">
        <v>16</v>
      </c>
      <c r="AQ2" s="155"/>
      <c r="AR2" s="7"/>
    </row>
    <row r="3" spans="1:44" s="8" customFormat="1" ht="38.25" x14ac:dyDescent="0.2">
      <c r="A3" s="169"/>
      <c r="B3" s="171"/>
      <c r="C3" s="4" t="s">
        <v>17</v>
      </c>
      <c r="D3" s="172"/>
      <c r="E3" s="9" t="s">
        <v>18</v>
      </c>
      <c r="F3" s="9" t="s">
        <v>19</v>
      </c>
      <c r="G3" s="9" t="s">
        <v>41</v>
      </c>
      <c r="H3" s="9" t="s">
        <v>20</v>
      </c>
      <c r="I3" s="5" t="s">
        <v>21</v>
      </c>
      <c r="J3" s="10" t="s">
        <v>22</v>
      </c>
      <c r="K3" s="11" t="s">
        <v>23</v>
      </c>
      <c r="L3" s="12" t="s">
        <v>24</v>
      </c>
      <c r="M3" s="164"/>
      <c r="N3" s="157"/>
      <c r="O3" s="159"/>
      <c r="P3" s="105" t="s">
        <v>120</v>
      </c>
      <c r="Q3" s="106" t="s">
        <v>121</v>
      </c>
      <c r="R3" s="107" t="s">
        <v>123</v>
      </c>
      <c r="S3" s="108" t="s">
        <v>124</v>
      </c>
      <c r="T3" s="111" t="s">
        <v>125</v>
      </c>
      <c r="U3" s="112" t="s">
        <v>128</v>
      </c>
      <c r="V3" s="113" t="s">
        <v>129</v>
      </c>
      <c r="W3" s="104" t="s">
        <v>130</v>
      </c>
      <c r="X3" s="106" t="s">
        <v>121</v>
      </c>
      <c r="Y3" s="107" t="s">
        <v>123</v>
      </c>
      <c r="Z3" s="108" t="s">
        <v>124</v>
      </c>
      <c r="AA3" s="111" t="s">
        <v>125</v>
      </c>
      <c r="AB3" s="112" t="s">
        <v>128</v>
      </c>
      <c r="AC3" s="113" t="s">
        <v>129</v>
      </c>
      <c r="AD3" s="104" t="s">
        <v>130</v>
      </c>
      <c r="AE3" s="161"/>
      <c r="AF3" s="29" t="s">
        <v>135</v>
      </c>
      <c r="AG3" s="29" t="s">
        <v>136</v>
      </c>
      <c r="AH3" s="29" t="s">
        <v>137</v>
      </c>
      <c r="AI3" s="13" t="s">
        <v>25</v>
      </c>
      <c r="AJ3" s="164"/>
      <c r="AK3" s="14" t="s">
        <v>26</v>
      </c>
      <c r="AL3" s="15" t="s">
        <v>27</v>
      </c>
      <c r="AM3" s="15" t="s">
        <v>28</v>
      </c>
      <c r="AN3" s="15" t="s">
        <v>29</v>
      </c>
      <c r="AO3" s="15" t="s">
        <v>30</v>
      </c>
      <c r="AP3" s="16" t="s">
        <v>31</v>
      </c>
      <c r="AQ3" s="16" t="s">
        <v>32</v>
      </c>
      <c r="AR3" s="7"/>
    </row>
    <row r="4" spans="1:44" s="24" customFormat="1" ht="13.15" customHeight="1" x14ac:dyDescent="0.2">
      <c r="A4" s="17">
        <v>1</v>
      </c>
      <c r="B4" s="18" t="s">
        <v>143</v>
      </c>
      <c r="C4" s="19" t="s">
        <v>33</v>
      </c>
      <c r="D4" s="20" t="s">
        <v>34</v>
      </c>
      <c r="E4" s="20">
        <v>1000</v>
      </c>
      <c r="F4" s="20">
        <v>1000</v>
      </c>
      <c r="G4" s="20">
        <v>55</v>
      </c>
      <c r="H4" s="20"/>
      <c r="I4" s="21">
        <f>4.2+10</f>
        <v>14.2</v>
      </c>
      <c r="J4" s="145">
        <f>I4*$J$2</f>
        <v>71</v>
      </c>
      <c r="K4" s="22"/>
      <c r="L4" s="142"/>
      <c r="M4" s="144">
        <f>J4+L4</f>
        <v>71</v>
      </c>
      <c r="N4" s="23">
        <v>240</v>
      </c>
      <c r="O4" s="103">
        <v>300</v>
      </c>
      <c r="P4" s="109" t="s">
        <v>167</v>
      </c>
      <c r="Q4" s="142">
        <f>'Equipment Costs(Press_Machine)'!$F$43</f>
        <v>34.596963925955478</v>
      </c>
      <c r="R4" s="22">
        <f>3600/O4</f>
        <v>12</v>
      </c>
      <c r="S4" s="136">
        <f>Q4/R4</f>
        <v>2.8830803271629564</v>
      </c>
      <c r="T4" s="114">
        <v>2</v>
      </c>
      <c r="U4" s="128">
        <f>LABOUR_Cost!$B$17</f>
        <v>7.2154471544715442</v>
      </c>
      <c r="V4" s="129">
        <f>T4*U4/R4</f>
        <v>1.2025745257452574</v>
      </c>
      <c r="W4" s="138">
        <f>S4+V4</f>
        <v>4.0856548529082133</v>
      </c>
      <c r="X4" s="136">
        <f>'Equipment Costs(Drilling)'!$F$39</f>
        <v>7.8894020949397339</v>
      </c>
      <c r="Y4" s="102">
        <v>30</v>
      </c>
      <c r="Z4" s="136">
        <f>X4/Y4</f>
        <v>0.26298006983132444</v>
      </c>
      <c r="AA4" s="114">
        <v>2</v>
      </c>
      <c r="AB4" s="128">
        <f>LABOUR_Cost!$B$17</f>
        <v>7.2154471544715442</v>
      </c>
      <c r="AC4" s="129">
        <f>AA4*AB4/Y4</f>
        <v>0.48102981029810293</v>
      </c>
      <c r="AD4" s="130">
        <f>Z4+AC4</f>
        <v>0.74400988012942737</v>
      </c>
      <c r="AE4" s="131">
        <f t="shared" ref="AE4:AE27" si="0">M4+W4+AD4</f>
        <v>75.829664733037646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4" s="122" customFormat="1" x14ac:dyDescent="0.2">
      <c r="A5" s="116">
        <v>2</v>
      </c>
      <c r="B5" s="117" t="s">
        <v>144</v>
      </c>
      <c r="C5" s="118" t="s">
        <v>35</v>
      </c>
      <c r="D5" s="119" t="s">
        <v>34</v>
      </c>
      <c r="E5" s="119">
        <v>1000</v>
      </c>
      <c r="F5" s="119">
        <v>1000</v>
      </c>
      <c r="G5" s="119">
        <v>55</v>
      </c>
      <c r="H5" s="119">
        <v>160</v>
      </c>
      <c r="I5" s="120">
        <v>8.5</v>
      </c>
      <c r="J5" s="128">
        <f t="shared" ref="J5:J27" si="1">I5*$J$2</f>
        <v>42.5</v>
      </c>
      <c r="K5" s="120"/>
      <c r="L5" s="128"/>
      <c r="M5" s="128">
        <f t="shared" ref="M5:M27" si="2">J5+L5</f>
        <v>42.5</v>
      </c>
      <c r="N5" s="120">
        <v>240</v>
      </c>
      <c r="O5" s="121">
        <f>N5+100</f>
        <v>340</v>
      </c>
      <c r="P5" s="114" t="s">
        <v>168</v>
      </c>
      <c r="Q5" s="128">
        <f>'Equipment Costs(Press_Machine)'!$F$43</f>
        <v>34.596963925955478</v>
      </c>
      <c r="R5" s="120">
        <f t="shared" ref="R5:R27" si="3">3600/O5</f>
        <v>10.588235294117647</v>
      </c>
      <c r="S5" s="129">
        <f t="shared" ref="S5:S27" si="4">Q5/R5</f>
        <v>3.2674910374513506</v>
      </c>
      <c r="T5" s="114">
        <v>2</v>
      </c>
      <c r="U5" s="128">
        <f>LABOUR_Cost!$B$17</f>
        <v>7.2154471544715442</v>
      </c>
      <c r="V5" s="129">
        <f t="shared" ref="V5:V27" si="5">T5*U5/R5</f>
        <v>1.362917795844625</v>
      </c>
      <c r="W5" s="139">
        <f t="shared" ref="W5:W27" si="6">S5+V5</f>
        <v>4.6304088332959754</v>
      </c>
      <c r="X5" s="129">
        <f>'Equipment Costs(Drilling)'!$F$39</f>
        <v>7.8894020949397339</v>
      </c>
      <c r="Y5" s="102">
        <v>30</v>
      </c>
      <c r="Z5" s="129">
        <f t="shared" ref="Z5:Z27" si="7">X5/Y5</f>
        <v>0.26298006983132444</v>
      </c>
      <c r="AA5" s="114">
        <v>2</v>
      </c>
      <c r="AB5" s="128">
        <f>LABOUR_Cost!$B$17</f>
        <v>7.2154471544715442</v>
      </c>
      <c r="AC5" s="129">
        <f t="shared" ref="AC5:AC27" si="8">AA5*AB5/Y5</f>
        <v>0.48102981029810293</v>
      </c>
      <c r="AD5" s="129">
        <f t="shared" ref="AD5:AD27" si="9">Z5+AC5</f>
        <v>0.74400988012942737</v>
      </c>
      <c r="AE5" s="132">
        <f t="shared" si="0"/>
        <v>47.874418713425399</v>
      </c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</row>
    <row r="6" spans="1:44" s="24" customFormat="1" x14ac:dyDescent="0.2">
      <c r="A6" s="17">
        <v>3</v>
      </c>
      <c r="B6" s="18" t="s">
        <v>145</v>
      </c>
      <c r="C6" s="25" t="s">
        <v>36</v>
      </c>
      <c r="D6" s="26">
        <v>100</v>
      </c>
      <c r="E6" s="26">
        <v>1000</v>
      </c>
      <c r="F6" s="26">
        <v>1000</v>
      </c>
      <c r="G6" s="26">
        <f>69.5-3</f>
        <v>66.5</v>
      </c>
      <c r="H6" s="26">
        <f t="shared" ref="H6:H9" si="10">200-2</f>
        <v>198</v>
      </c>
      <c r="I6" s="21">
        <f>19.9-3*1.8</f>
        <v>14.499999999999998</v>
      </c>
      <c r="J6" s="145">
        <f t="shared" si="1"/>
        <v>72.499999999999986</v>
      </c>
      <c r="K6" s="22">
        <f>1.15*1.15*180</f>
        <v>238.04999999999995</v>
      </c>
      <c r="L6" s="142">
        <f>K6*$L$2</f>
        <v>1.3224999999999998</v>
      </c>
      <c r="M6" s="144">
        <f t="shared" si="2"/>
        <v>73.822499999999991</v>
      </c>
      <c r="N6" s="23">
        <v>300</v>
      </c>
      <c r="O6" s="103">
        <f t="shared" ref="O6:O27" si="11">N6+100</f>
        <v>400</v>
      </c>
      <c r="P6" s="109" t="s">
        <v>169</v>
      </c>
      <c r="Q6" s="142">
        <f>'Equipment Costs(Press_Machine)'!$F$43</f>
        <v>34.596963925955478</v>
      </c>
      <c r="R6" s="22">
        <f t="shared" si="3"/>
        <v>9</v>
      </c>
      <c r="S6" s="136">
        <f t="shared" si="4"/>
        <v>3.844107102883942</v>
      </c>
      <c r="T6" s="114">
        <v>2</v>
      </c>
      <c r="U6" s="128">
        <f>LABOUR_Cost!$B$17</f>
        <v>7.2154471544715442</v>
      </c>
      <c r="V6" s="129">
        <f t="shared" si="5"/>
        <v>1.6034327009936764</v>
      </c>
      <c r="W6" s="138">
        <f t="shared" si="6"/>
        <v>5.4475398038776186</v>
      </c>
      <c r="X6" s="136">
        <f>'Equipment Costs(Drilling)'!$F$39</f>
        <v>7.8894020949397339</v>
      </c>
      <c r="Y6" s="102">
        <v>30</v>
      </c>
      <c r="Z6" s="136">
        <f t="shared" si="7"/>
        <v>0.26298006983132444</v>
      </c>
      <c r="AA6" s="114">
        <v>2</v>
      </c>
      <c r="AB6" s="128">
        <f>LABOUR_Cost!$B$17</f>
        <v>7.2154471544715442</v>
      </c>
      <c r="AC6" s="129">
        <f t="shared" si="8"/>
        <v>0.48102981029810293</v>
      </c>
      <c r="AD6" s="130">
        <f t="shared" si="9"/>
        <v>0.74400988012942737</v>
      </c>
      <c r="AE6" s="131">
        <f t="shared" si="0"/>
        <v>80.014049684007034</v>
      </c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</row>
    <row r="7" spans="1:44" s="24" customFormat="1" x14ac:dyDescent="0.2">
      <c r="A7" s="17">
        <v>4</v>
      </c>
      <c r="B7" s="18" t="s">
        <v>146</v>
      </c>
      <c r="C7" s="25" t="s">
        <v>36</v>
      </c>
      <c r="D7" s="26">
        <v>200</v>
      </c>
      <c r="E7" s="26">
        <v>1000</v>
      </c>
      <c r="F7" s="26">
        <v>1000</v>
      </c>
      <c r="G7" s="26">
        <f>69.5-2</f>
        <v>67.5</v>
      </c>
      <c r="H7" s="26">
        <f t="shared" si="10"/>
        <v>198</v>
      </c>
      <c r="I7" s="21">
        <v>16</v>
      </c>
      <c r="J7" s="145">
        <f t="shared" si="1"/>
        <v>80</v>
      </c>
      <c r="K7" s="22">
        <f t="shared" ref="K7:K25" si="12">1.15*1.15*180</f>
        <v>238.04999999999995</v>
      </c>
      <c r="L7" s="142">
        <f t="shared" ref="L7:L26" si="13">K7*$L$2</f>
        <v>1.3224999999999998</v>
      </c>
      <c r="M7" s="144">
        <f t="shared" si="2"/>
        <v>81.322500000000005</v>
      </c>
      <c r="N7" s="23">
        <v>300</v>
      </c>
      <c r="O7" s="103">
        <f t="shared" si="11"/>
        <v>400</v>
      </c>
      <c r="P7" s="109" t="s">
        <v>169</v>
      </c>
      <c r="Q7" s="142">
        <f>'Equipment Costs(Press_Machine)'!$F$43</f>
        <v>34.596963925955478</v>
      </c>
      <c r="R7" s="22">
        <f t="shared" si="3"/>
        <v>9</v>
      </c>
      <c r="S7" s="136">
        <f t="shared" si="4"/>
        <v>3.844107102883942</v>
      </c>
      <c r="T7" s="114">
        <v>2</v>
      </c>
      <c r="U7" s="128">
        <f>LABOUR_Cost!$B$17</f>
        <v>7.2154471544715442</v>
      </c>
      <c r="V7" s="129">
        <f t="shared" si="5"/>
        <v>1.6034327009936764</v>
      </c>
      <c r="W7" s="138">
        <f t="shared" si="6"/>
        <v>5.4475398038776186</v>
      </c>
      <c r="X7" s="136">
        <f>'Equipment Costs(Drilling)'!$F$39</f>
        <v>7.8894020949397339</v>
      </c>
      <c r="Y7" s="102">
        <v>30</v>
      </c>
      <c r="Z7" s="136">
        <f t="shared" si="7"/>
        <v>0.26298006983132444</v>
      </c>
      <c r="AA7" s="114">
        <v>2</v>
      </c>
      <c r="AB7" s="128">
        <f>LABOUR_Cost!$B$17</f>
        <v>7.2154471544715442</v>
      </c>
      <c r="AC7" s="129">
        <f t="shared" si="8"/>
        <v>0.48102981029810293</v>
      </c>
      <c r="AD7" s="130">
        <f t="shared" si="9"/>
        <v>0.74400988012942737</v>
      </c>
      <c r="AE7" s="131">
        <f t="shared" si="0"/>
        <v>87.514049684007048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</row>
    <row r="8" spans="1:44" s="24" customFormat="1" x14ac:dyDescent="0.2">
      <c r="A8" s="116">
        <v>5</v>
      </c>
      <c r="B8" s="18" t="s">
        <v>147</v>
      </c>
      <c r="C8" s="25" t="s">
        <v>36</v>
      </c>
      <c r="D8" s="26">
        <v>300</v>
      </c>
      <c r="E8" s="26">
        <v>1000</v>
      </c>
      <c r="F8" s="26">
        <v>1000</v>
      </c>
      <c r="G8" s="26">
        <v>69.5</v>
      </c>
      <c r="H8" s="26">
        <f t="shared" si="10"/>
        <v>198</v>
      </c>
      <c r="I8" s="21">
        <v>21</v>
      </c>
      <c r="J8" s="145">
        <f t="shared" si="1"/>
        <v>105</v>
      </c>
      <c r="K8" s="22">
        <f t="shared" si="12"/>
        <v>238.04999999999995</v>
      </c>
      <c r="L8" s="142">
        <f t="shared" si="13"/>
        <v>1.3224999999999998</v>
      </c>
      <c r="M8" s="144">
        <f t="shared" si="2"/>
        <v>106.32250000000001</v>
      </c>
      <c r="N8" s="23">
        <v>360</v>
      </c>
      <c r="O8" s="103">
        <f t="shared" si="11"/>
        <v>460</v>
      </c>
      <c r="P8" s="109" t="s">
        <v>169</v>
      </c>
      <c r="Q8" s="142">
        <f>'Equipment Costs(Press_Machine)'!$F$43</f>
        <v>34.596963925955478</v>
      </c>
      <c r="R8" s="22">
        <f t="shared" si="3"/>
        <v>7.8260869565217392</v>
      </c>
      <c r="S8" s="136">
        <f t="shared" si="4"/>
        <v>4.4207231683165329</v>
      </c>
      <c r="T8" s="114">
        <v>2</v>
      </c>
      <c r="U8" s="128">
        <f>LABOUR_Cost!$B$17</f>
        <v>7.2154471544715442</v>
      </c>
      <c r="V8" s="129">
        <f t="shared" si="5"/>
        <v>1.843947606142728</v>
      </c>
      <c r="W8" s="138">
        <f t="shared" si="6"/>
        <v>6.2646707744592609</v>
      </c>
      <c r="X8" s="136">
        <f>'Equipment Costs(Drilling)'!$F$39</f>
        <v>7.8894020949397339</v>
      </c>
      <c r="Y8" s="102">
        <v>30</v>
      </c>
      <c r="Z8" s="136">
        <f t="shared" si="7"/>
        <v>0.26298006983132444</v>
      </c>
      <c r="AA8" s="114">
        <v>2</v>
      </c>
      <c r="AB8" s="128">
        <f>LABOUR_Cost!$B$17</f>
        <v>7.2154471544715442</v>
      </c>
      <c r="AC8" s="129">
        <f t="shared" si="8"/>
        <v>0.48102981029810293</v>
      </c>
      <c r="AD8" s="130">
        <f t="shared" si="9"/>
        <v>0.74400988012942737</v>
      </c>
      <c r="AE8" s="131">
        <f t="shared" si="0"/>
        <v>113.33118065458869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</row>
    <row r="9" spans="1:44" s="24" customFormat="1" x14ac:dyDescent="0.2">
      <c r="A9" s="17">
        <v>6</v>
      </c>
      <c r="B9" s="18" t="s">
        <v>148</v>
      </c>
      <c r="C9" s="25" t="s">
        <v>36</v>
      </c>
      <c r="D9" s="26">
        <v>400</v>
      </c>
      <c r="E9" s="26">
        <v>1000</v>
      </c>
      <c r="F9" s="26">
        <v>1000</v>
      </c>
      <c r="G9" s="26">
        <f>69.5+1.5</f>
        <v>71</v>
      </c>
      <c r="H9" s="26">
        <f t="shared" si="10"/>
        <v>198</v>
      </c>
      <c r="I9" s="21">
        <v>23.5</v>
      </c>
      <c r="J9" s="145">
        <f t="shared" si="1"/>
        <v>117.5</v>
      </c>
      <c r="K9" s="22">
        <f t="shared" si="12"/>
        <v>238.04999999999995</v>
      </c>
      <c r="L9" s="142">
        <f t="shared" si="13"/>
        <v>1.3224999999999998</v>
      </c>
      <c r="M9" s="144">
        <f t="shared" si="2"/>
        <v>118.82250000000001</v>
      </c>
      <c r="N9" s="23">
        <v>360</v>
      </c>
      <c r="O9" s="103">
        <f t="shared" si="11"/>
        <v>460</v>
      </c>
      <c r="P9" s="109" t="s">
        <v>169</v>
      </c>
      <c r="Q9" s="142">
        <f>'Equipment Costs(Press_Machine)'!$F$43</f>
        <v>34.596963925955478</v>
      </c>
      <c r="R9" s="22">
        <f t="shared" si="3"/>
        <v>7.8260869565217392</v>
      </c>
      <c r="S9" s="136">
        <f t="shared" si="4"/>
        <v>4.4207231683165329</v>
      </c>
      <c r="T9" s="114">
        <v>2</v>
      </c>
      <c r="U9" s="128">
        <f>LABOUR_Cost!$B$17</f>
        <v>7.2154471544715442</v>
      </c>
      <c r="V9" s="129">
        <f t="shared" si="5"/>
        <v>1.843947606142728</v>
      </c>
      <c r="W9" s="138">
        <f t="shared" si="6"/>
        <v>6.2646707744592609</v>
      </c>
      <c r="X9" s="136">
        <f>'Equipment Costs(Drilling)'!$F$39</f>
        <v>7.8894020949397339</v>
      </c>
      <c r="Y9" s="102">
        <v>30</v>
      </c>
      <c r="Z9" s="136">
        <f t="shared" si="7"/>
        <v>0.26298006983132444</v>
      </c>
      <c r="AA9" s="114">
        <v>2</v>
      </c>
      <c r="AB9" s="128">
        <f>LABOUR_Cost!$B$17</f>
        <v>7.2154471544715442</v>
      </c>
      <c r="AC9" s="129">
        <f t="shared" si="8"/>
        <v>0.48102981029810293</v>
      </c>
      <c r="AD9" s="130">
        <f t="shared" si="9"/>
        <v>0.74400988012942737</v>
      </c>
      <c r="AE9" s="131">
        <f t="shared" si="0"/>
        <v>125.83118065458869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</row>
    <row r="10" spans="1:44" s="24" customFormat="1" x14ac:dyDescent="0.2">
      <c r="A10" s="17">
        <v>7</v>
      </c>
      <c r="B10" s="18" t="s">
        <v>149</v>
      </c>
      <c r="C10" s="25" t="s">
        <v>37</v>
      </c>
      <c r="D10" s="26">
        <v>150</v>
      </c>
      <c r="E10" s="20">
        <v>500</v>
      </c>
      <c r="F10" s="20">
        <v>1000</v>
      </c>
      <c r="G10" s="20">
        <v>69</v>
      </c>
      <c r="H10" s="20">
        <v>69</v>
      </c>
      <c r="I10" s="21">
        <v>7.2</v>
      </c>
      <c r="J10" s="145">
        <f t="shared" si="1"/>
        <v>36</v>
      </c>
      <c r="K10" s="22">
        <f t="shared" si="12"/>
        <v>238.04999999999995</v>
      </c>
      <c r="L10" s="142">
        <f t="shared" si="13"/>
        <v>1.3224999999999998</v>
      </c>
      <c r="M10" s="144">
        <f t="shared" si="2"/>
        <v>37.322499999999998</v>
      </c>
      <c r="N10" s="23">
        <v>420</v>
      </c>
      <c r="O10" s="103">
        <f t="shared" si="11"/>
        <v>520</v>
      </c>
      <c r="P10" s="109" t="s">
        <v>169</v>
      </c>
      <c r="Q10" s="142">
        <f>'Equipment Costs(Press_Machine)'!$F$43</f>
        <v>34.596963925955478</v>
      </c>
      <c r="R10" s="22">
        <f t="shared" si="3"/>
        <v>6.9230769230769234</v>
      </c>
      <c r="S10" s="136">
        <f t="shared" si="4"/>
        <v>4.9973392337491243</v>
      </c>
      <c r="T10" s="114">
        <v>1</v>
      </c>
      <c r="U10" s="128">
        <f>LABOUR_Cost!$B$17</f>
        <v>7.2154471544715442</v>
      </c>
      <c r="V10" s="129">
        <f t="shared" si="5"/>
        <v>1.0422312556458897</v>
      </c>
      <c r="W10" s="138">
        <f t="shared" si="6"/>
        <v>6.0395704893950137</v>
      </c>
      <c r="X10" s="136">
        <f>'Equipment Costs(Drilling)'!$F$39</f>
        <v>7.8894020949397339</v>
      </c>
      <c r="Y10" s="102">
        <v>30</v>
      </c>
      <c r="Z10" s="136">
        <f t="shared" si="7"/>
        <v>0.26298006983132444</v>
      </c>
      <c r="AA10" s="114">
        <v>1</v>
      </c>
      <c r="AB10" s="128">
        <f>LABOUR_Cost!$B$17</f>
        <v>7.2154471544715442</v>
      </c>
      <c r="AC10" s="129">
        <f t="shared" si="8"/>
        <v>0.24051490514905147</v>
      </c>
      <c r="AD10" s="130">
        <f t="shared" si="9"/>
        <v>0.50349497498037588</v>
      </c>
      <c r="AE10" s="131">
        <f t="shared" si="0"/>
        <v>43.865565464375386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</row>
    <row r="11" spans="1:44" s="24" customFormat="1" x14ac:dyDescent="0.2">
      <c r="A11" s="116">
        <v>8</v>
      </c>
      <c r="B11" s="18" t="s">
        <v>150</v>
      </c>
      <c r="C11" s="25" t="s">
        <v>37</v>
      </c>
      <c r="D11" s="26">
        <v>250</v>
      </c>
      <c r="E11" s="20">
        <v>500</v>
      </c>
      <c r="F11" s="20">
        <v>1000</v>
      </c>
      <c r="G11" s="20">
        <v>70</v>
      </c>
      <c r="H11" s="20">
        <v>70</v>
      </c>
      <c r="I11" s="21">
        <v>8.6999999999999993</v>
      </c>
      <c r="J11" s="145">
        <f t="shared" si="1"/>
        <v>43.5</v>
      </c>
      <c r="K11" s="22">
        <f t="shared" si="12"/>
        <v>238.04999999999995</v>
      </c>
      <c r="L11" s="142">
        <f t="shared" si="13"/>
        <v>1.3224999999999998</v>
      </c>
      <c r="M11" s="144">
        <f t="shared" si="2"/>
        <v>44.822499999999998</v>
      </c>
      <c r="N11" s="23">
        <f>60*6+30</f>
        <v>390</v>
      </c>
      <c r="O11" s="103">
        <f t="shared" si="11"/>
        <v>490</v>
      </c>
      <c r="P11" s="109" t="s">
        <v>169</v>
      </c>
      <c r="Q11" s="142">
        <f>'Equipment Costs(Press_Machine)'!$F$43</f>
        <v>34.596963925955478</v>
      </c>
      <c r="R11" s="22">
        <f t="shared" si="3"/>
        <v>7.3469387755102042</v>
      </c>
      <c r="S11" s="136">
        <f t="shared" si="4"/>
        <v>4.709031201032829</v>
      </c>
      <c r="T11" s="114">
        <v>1</v>
      </c>
      <c r="U11" s="128">
        <f>LABOUR_Cost!$B$17</f>
        <v>7.2154471544715442</v>
      </c>
      <c r="V11" s="129">
        <f t="shared" si="5"/>
        <v>0.98210252935862685</v>
      </c>
      <c r="W11" s="138">
        <f t="shared" si="6"/>
        <v>5.6911337303914555</v>
      </c>
      <c r="X11" s="136">
        <f>'Equipment Costs(Drilling)'!$F$39</f>
        <v>7.8894020949397339</v>
      </c>
      <c r="Y11" s="102">
        <v>30</v>
      </c>
      <c r="Z11" s="136">
        <f t="shared" si="7"/>
        <v>0.26298006983132444</v>
      </c>
      <c r="AA11" s="114">
        <v>1</v>
      </c>
      <c r="AB11" s="128">
        <f>LABOUR_Cost!$B$17</f>
        <v>7.2154471544715442</v>
      </c>
      <c r="AC11" s="129">
        <f t="shared" si="8"/>
        <v>0.24051490514905147</v>
      </c>
      <c r="AD11" s="130">
        <f t="shared" si="9"/>
        <v>0.50349497498037588</v>
      </c>
      <c r="AE11" s="131">
        <f t="shared" si="0"/>
        <v>51.017128705371832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s="24" customFormat="1" x14ac:dyDescent="0.2">
      <c r="A12" s="17">
        <v>9</v>
      </c>
      <c r="B12" s="18" t="s">
        <v>151</v>
      </c>
      <c r="C12" s="25" t="s">
        <v>37</v>
      </c>
      <c r="D12" s="26">
        <v>350</v>
      </c>
      <c r="E12" s="20">
        <v>500</v>
      </c>
      <c r="F12" s="20">
        <v>1000</v>
      </c>
      <c r="G12" s="20">
        <v>72</v>
      </c>
      <c r="H12" s="20">
        <v>72</v>
      </c>
      <c r="I12" s="21">
        <v>11.4</v>
      </c>
      <c r="J12" s="145">
        <f t="shared" si="1"/>
        <v>57</v>
      </c>
      <c r="K12" s="22">
        <f t="shared" si="12"/>
        <v>238.04999999999995</v>
      </c>
      <c r="L12" s="142">
        <f t="shared" si="13"/>
        <v>1.3224999999999998</v>
      </c>
      <c r="M12" s="144">
        <f t="shared" si="2"/>
        <v>58.322499999999998</v>
      </c>
      <c r="N12" s="23">
        <f>60*9+30</f>
        <v>570</v>
      </c>
      <c r="O12" s="103">
        <f t="shared" si="11"/>
        <v>670</v>
      </c>
      <c r="P12" s="109" t="s">
        <v>169</v>
      </c>
      <c r="Q12" s="142">
        <f>'Equipment Costs(Press_Machine)'!$F$43</f>
        <v>34.596963925955478</v>
      </c>
      <c r="R12" s="22">
        <f t="shared" si="3"/>
        <v>5.3731343283582094</v>
      </c>
      <c r="S12" s="136">
        <f t="shared" si="4"/>
        <v>6.4388793973306022</v>
      </c>
      <c r="T12" s="114">
        <v>1</v>
      </c>
      <c r="U12" s="128">
        <f>LABOUR_Cost!$B$17</f>
        <v>7.2154471544715442</v>
      </c>
      <c r="V12" s="129">
        <f t="shared" si="5"/>
        <v>1.342874887082204</v>
      </c>
      <c r="W12" s="138">
        <f t="shared" si="6"/>
        <v>7.7817542844128065</v>
      </c>
      <c r="X12" s="136">
        <f>'Equipment Costs(Drilling)'!$F$39</f>
        <v>7.8894020949397339</v>
      </c>
      <c r="Y12" s="102">
        <v>30</v>
      </c>
      <c r="Z12" s="136">
        <f t="shared" si="7"/>
        <v>0.26298006983132444</v>
      </c>
      <c r="AA12" s="114">
        <v>1</v>
      </c>
      <c r="AB12" s="128">
        <f>LABOUR_Cost!$B$17</f>
        <v>7.2154471544715442</v>
      </c>
      <c r="AC12" s="129">
        <f t="shared" si="8"/>
        <v>0.24051490514905147</v>
      </c>
      <c r="AD12" s="130">
        <f t="shared" si="9"/>
        <v>0.50349497498037588</v>
      </c>
      <c r="AE12" s="131">
        <f t="shared" si="0"/>
        <v>66.607749259393174</v>
      </c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s="24" customFormat="1" x14ac:dyDescent="0.2">
      <c r="A13" s="17">
        <v>10</v>
      </c>
      <c r="B13" s="18" t="s">
        <v>152</v>
      </c>
      <c r="C13" s="25" t="s">
        <v>37</v>
      </c>
      <c r="D13" s="26">
        <v>400</v>
      </c>
      <c r="E13" s="20">
        <v>500</v>
      </c>
      <c r="F13" s="20">
        <v>1000</v>
      </c>
      <c r="G13" s="20">
        <v>72</v>
      </c>
      <c r="H13" s="20">
        <v>72</v>
      </c>
      <c r="I13" s="21">
        <v>13.5</v>
      </c>
      <c r="J13" s="145">
        <f t="shared" si="1"/>
        <v>67.5</v>
      </c>
      <c r="K13" s="22">
        <f t="shared" si="12"/>
        <v>238.04999999999995</v>
      </c>
      <c r="L13" s="142">
        <f t="shared" si="13"/>
        <v>1.3224999999999998</v>
      </c>
      <c r="M13" s="144">
        <f t="shared" si="2"/>
        <v>68.822500000000005</v>
      </c>
      <c r="N13" s="23">
        <f>60*9+30</f>
        <v>570</v>
      </c>
      <c r="O13" s="103">
        <f t="shared" si="11"/>
        <v>670</v>
      </c>
      <c r="P13" s="109" t="s">
        <v>169</v>
      </c>
      <c r="Q13" s="142">
        <f>'Equipment Costs(Press_Machine)'!$F$43</f>
        <v>34.596963925955478</v>
      </c>
      <c r="R13" s="22">
        <f t="shared" si="3"/>
        <v>5.3731343283582094</v>
      </c>
      <c r="S13" s="136">
        <f t="shared" si="4"/>
        <v>6.4388793973306022</v>
      </c>
      <c r="T13" s="114">
        <v>1</v>
      </c>
      <c r="U13" s="128">
        <f>LABOUR_Cost!$B$17</f>
        <v>7.2154471544715442</v>
      </c>
      <c r="V13" s="129">
        <f t="shared" si="5"/>
        <v>1.342874887082204</v>
      </c>
      <c r="W13" s="138">
        <f t="shared" si="6"/>
        <v>7.7817542844128065</v>
      </c>
      <c r="X13" s="136">
        <f>'Equipment Costs(Drilling)'!$F$39</f>
        <v>7.8894020949397339</v>
      </c>
      <c r="Y13" s="102">
        <v>30</v>
      </c>
      <c r="Z13" s="136">
        <f t="shared" si="7"/>
        <v>0.26298006983132444</v>
      </c>
      <c r="AA13" s="114">
        <v>1</v>
      </c>
      <c r="AB13" s="128">
        <f>LABOUR_Cost!$B$17</f>
        <v>7.2154471544715442</v>
      </c>
      <c r="AC13" s="129">
        <f t="shared" si="8"/>
        <v>0.24051490514905147</v>
      </c>
      <c r="AD13" s="130">
        <f t="shared" si="9"/>
        <v>0.50349497498037588</v>
      </c>
      <c r="AE13" s="131">
        <f t="shared" si="0"/>
        <v>77.107749259393188</v>
      </c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</row>
    <row r="14" spans="1:44" s="24" customFormat="1" x14ac:dyDescent="0.2">
      <c r="A14" s="116">
        <v>11</v>
      </c>
      <c r="B14" s="18" t="s">
        <v>153</v>
      </c>
      <c r="C14" s="27" t="s">
        <v>38</v>
      </c>
      <c r="D14" s="26">
        <v>100</v>
      </c>
      <c r="E14" s="26">
        <v>1000</v>
      </c>
      <c r="F14" s="26">
        <v>1000</v>
      </c>
      <c r="G14" s="26">
        <v>68.5</v>
      </c>
      <c r="H14" s="26">
        <v>68.5</v>
      </c>
      <c r="I14" s="21">
        <v>12.5</v>
      </c>
      <c r="J14" s="145">
        <f t="shared" si="1"/>
        <v>62.5</v>
      </c>
      <c r="K14" s="22">
        <f t="shared" si="12"/>
        <v>238.04999999999995</v>
      </c>
      <c r="L14" s="142">
        <f t="shared" si="13"/>
        <v>1.3224999999999998</v>
      </c>
      <c r="M14" s="144">
        <f t="shared" si="2"/>
        <v>63.822499999999998</v>
      </c>
      <c r="N14" s="23">
        <v>300</v>
      </c>
      <c r="O14" s="103">
        <f t="shared" si="11"/>
        <v>400</v>
      </c>
      <c r="P14" s="109" t="s">
        <v>169</v>
      </c>
      <c r="Q14" s="142">
        <f>'Equipment Costs(Press_Machine)'!$F$43</f>
        <v>34.596963925955478</v>
      </c>
      <c r="R14" s="22">
        <f t="shared" si="3"/>
        <v>9</v>
      </c>
      <c r="S14" s="136">
        <f t="shared" si="4"/>
        <v>3.844107102883942</v>
      </c>
      <c r="T14" s="114">
        <v>2</v>
      </c>
      <c r="U14" s="128">
        <f>LABOUR_Cost!$B$17</f>
        <v>7.2154471544715442</v>
      </c>
      <c r="V14" s="129">
        <f t="shared" si="5"/>
        <v>1.6034327009936764</v>
      </c>
      <c r="W14" s="138">
        <f t="shared" si="6"/>
        <v>5.4475398038776186</v>
      </c>
      <c r="X14" s="136">
        <f>'Equipment Costs(Drilling)'!$F$39</f>
        <v>7.8894020949397339</v>
      </c>
      <c r="Y14" s="102">
        <v>30</v>
      </c>
      <c r="Z14" s="136">
        <f t="shared" si="7"/>
        <v>0.26298006983132444</v>
      </c>
      <c r="AA14" s="114">
        <v>2</v>
      </c>
      <c r="AB14" s="128">
        <f>LABOUR_Cost!$B$17</f>
        <v>7.2154471544715442</v>
      </c>
      <c r="AC14" s="129">
        <f t="shared" si="8"/>
        <v>0.48102981029810293</v>
      </c>
      <c r="AD14" s="130">
        <f t="shared" si="9"/>
        <v>0.74400988012942737</v>
      </c>
      <c r="AE14" s="131">
        <f t="shared" si="0"/>
        <v>70.014049684007048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</row>
    <row r="15" spans="1:44" s="24" customFormat="1" x14ac:dyDescent="0.2">
      <c r="A15" s="17">
        <v>12</v>
      </c>
      <c r="B15" s="18" t="s">
        <v>154</v>
      </c>
      <c r="C15" s="27" t="s">
        <v>38</v>
      </c>
      <c r="D15" s="26">
        <v>200</v>
      </c>
      <c r="E15" s="26">
        <v>1000</v>
      </c>
      <c r="F15" s="26">
        <v>1000</v>
      </c>
      <c r="G15" s="26">
        <f>68.5+3</f>
        <v>71.5</v>
      </c>
      <c r="H15" s="26">
        <f>68.5+3</f>
        <v>71.5</v>
      </c>
      <c r="I15" s="21">
        <v>17.5</v>
      </c>
      <c r="J15" s="145">
        <f t="shared" si="1"/>
        <v>87.5</v>
      </c>
      <c r="K15" s="22">
        <f t="shared" si="12"/>
        <v>238.04999999999995</v>
      </c>
      <c r="L15" s="142">
        <f t="shared" si="13"/>
        <v>1.3224999999999998</v>
      </c>
      <c r="M15" s="144">
        <f t="shared" si="2"/>
        <v>88.822500000000005</v>
      </c>
      <c r="N15" s="23">
        <v>360</v>
      </c>
      <c r="O15" s="103">
        <f t="shared" si="11"/>
        <v>460</v>
      </c>
      <c r="P15" s="109" t="s">
        <v>169</v>
      </c>
      <c r="Q15" s="142">
        <f>'Equipment Costs(Press_Machine)'!$F$43</f>
        <v>34.596963925955478</v>
      </c>
      <c r="R15" s="22">
        <f t="shared" si="3"/>
        <v>7.8260869565217392</v>
      </c>
      <c r="S15" s="136">
        <f t="shared" si="4"/>
        <v>4.4207231683165329</v>
      </c>
      <c r="T15" s="114">
        <v>2</v>
      </c>
      <c r="U15" s="128">
        <f>LABOUR_Cost!$B$17</f>
        <v>7.2154471544715442</v>
      </c>
      <c r="V15" s="129">
        <f t="shared" si="5"/>
        <v>1.843947606142728</v>
      </c>
      <c r="W15" s="138">
        <f t="shared" si="6"/>
        <v>6.2646707744592609</v>
      </c>
      <c r="X15" s="136">
        <f>'Equipment Costs(Drilling)'!$F$39</f>
        <v>7.8894020949397339</v>
      </c>
      <c r="Y15" s="102">
        <v>30</v>
      </c>
      <c r="Z15" s="136">
        <f t="shared" si="7"/>
        <v>0.26298006983132444</v>
      </c>
      <c r="AA15" s="114">
        <v>2</v>
      </c>
      <c r="AB15" s="128">
        <f>LABOUR_Cost!$B$17</f>
        <v>7.2154471544715442</v>
      </c>
      <c r="AC15" s="129">
        <f t="shared" si="8"/>
        <v>0.48102981029810293</v>
      </c>
      <c r="AD15" s="130">
        <f t="shared" si="9"/>
        <v>0.74400988012942737</v>
      </c>
      <c r="AE15" s="131">
        <f t="shared" si="0"/>
        <v>95.831180654588692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</row>
    <row r="16" spans="1:44" s="24" customFormat="1" x14ac:dyDescent="0.2">
      <c r="A16" s="17">
        <v>13</v>
      </c>
      <c r="B16" s="18" t="s">
        <v>155</v>
      </c>
      <c r="C16" s="27" t="s">
        <v>38</v>
      </c>
      <c r="D16" s="26">
        <v>300</v>
      </c>
      <c r="E16" s="26">
        <v>1000</v>
      </c>
      <c r="F16" s="26">
        <v>1000</v>
      </c>
      <c r="G16" s="26">
        <f>68.5+6.5</f>
        <v>75</v>
      </c>
      <c r="H16" s="26">
        <f>68.5+6.5</f>
        <v>75</v>
      </c>
      <c r="I16" s="21">
        <v>21</v>
      </c>
      <c r="J16" s="145">
        <f t="shared" si="1"/>
        <v>105</v>
      </c>
      <c r="K16" s="22">
        <f t="shared" si="12"/>
        <v>238.04999999999995</v>
      </c>
      <c r="L16" s="142">
        <f t="shared" si="13"/>
        <v>1.3224999999999998</v>
      </c>
      <c r="M16" s="144">
        <f t="shared" si="2"/>
        <v>106.32250000000001</v>
      </c>
      <c r="N16" s="23">
        <v>360</v>
      </c>
      <c r="O16" s="103">
        <f t="shared" si="11"/>
        <v>460</v>
      </c>
      <c r="P16" s="109" t="s">
        <v>169</v>
      </c>
      <c r="Q16" s="142">
        <f>'Equipment Costs(Press_Machine)'!$F$43</f>
        <v>34.596963925955478</v>
      </c>
      <c r="R16" s="22">
        <f t="shared" si="3"/>
        <v>7.8260869565217392</v>
      </c>
      <c r="S16" s="136">
        <f t="shared" si="4"/>
        <v>4.4207231683165329</v>
      </c>
      <c r="T16" s="114">
        <v>2</v>
      </c>
      <c r="U16" s="128">
        <f>LABOUR_Cost!$B$17</f>
        <v>7.2154471544715442</v>
      </c>
      <c r="V16" s="129">
        <f t="shared" si="5"/>
        <v>1.843947606142728</v>
      </c>
      <c r="W16" s="138">
        <f t="shared" si="6"/>
        <v>6.2646707744592609</v>
      </c>
      <c r="X16" s="136">
        <f>'Equipment Costs(Drilling)'!$F$39</f>
        <v>7.8894020949397339</v>
      </c>
      <c r="Y16" s="102">
        <v>30</v>
      </c>
      <c r="Z16" s="136">
        <f t="shared" si="7"/>
        <v>0.26298006983132444</v>
      </c>
      <c r="AA16" s="114">
        <v>2</v>
      </c>
      <c r="AB16" s="128">
        <f>LABOUR_Cost!$B$17</f>
        <v>7.2154471544715442</v>
      </c>
      <c r="AC16" s="129">
        <f t="shared" si="8"/>
        <v>0.48102981029810293</v>
      </c>
      <c r="AD16" s="130">
        <f t="shared" si="9"/>
        <v>0.74400988012942737</v>
      </c>
      <c r="AE16" s="131">
        <f t="shared" si="0"/>
        <v>113.33118065458869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</row>
    <row r="17" spans="1:44" s="24" customFormat="1" x14ac:dyDescent="0.2">
      <c r="A17" s="116">
        <v>14</v>
      </c>
      <c r="B17" s="18" t="s">
        <v>156</v>
      </c>
      <c r="C17" s="27" t="s">
        <v>38</v>
      </c>
      <c r="D17" s="26">
        <v>400</v>
      </c>
      <c r="E17" s="26">
        <v>1000</v>
      </c>
      <c r="F17" s="26">
        <v>1000</v>
      </c>
      <c r="G17" s="26">
        <f>68.5+7.5</f>
        <v>76</v>
      </c>
      <c r="H17" s="26">
        <f>68.5+7.5</f>
        <v>76</v>
      </c>
      <c r="I17" s="21">
        <v>25</v>
      </c>
      <c r="J17" s="145">
        <f t="shared" si="1"/>
        <v>125</v>
      </c>
      <c r="K17" s="22">
        <f t="shared" si="12"/>
        <v>238.04999999999995</v>
      </c>
      <c r="L17" s="142">
        <f t="shared" si="13"/>
        <v>1.3224999999999998</v>
      </c>
      <c r="M17" s="144">
        <f t="shared" si="2"/>
        <v>126.32250000000001</v>
      </c>
      <c r="N17" s="23">
        <v>420</v>
      </c>
      <c r="O17" s="103">
        <f t="shared" si="11"/>
        <v>520</v>
      </c>
      <c r="P17" s="109" t="s">
        <v>169</v>
      </c>
      <c r="Q17" s="142">
        <f>'Equipment Costs(Press_Machine)'!$F$43</f>
        <v>34.596963925955478</v>
      </c>
      <c r="R17" s="22">
        <f t="shared" si="3"/>
        <v>6.9230769230769234</v>
      </c>
      <c r="S17" s="136">
        <f t="shared" si="4"/>
        <v>4.9973392337491243</v>
      </c>
      <c r="T17" s="114">
        <v>2</v>
      </c>
      <c r="U17" s="128">
        <f>LABOUR_Cost!$B$17</f>
        <v>7.2154471544715442</v>
      </c>
      <c r="V17" s="129">
        <f t="shared" si="5"/>
        <v>2.0844625112917794</v>
      </c>
      <c r="W17" s="138">
        <f t="shared" si="6"/>
        <v>7.0818017450409041</v>
      </c>
      <c r="X17" s="136">
        <f>'Equipment Costs(Drilling)'!$F$39</f>
        <v>7.8894020949397339</v>
      </c>
      <c r="Y17" s="102">
        <v>30</v>
      </c>
      <c r="Z17" s="136">
        <f t="shared" si="7"/>
        <v>0.26298006983132444</v>
      </c>
      <c r="AA17" s="114">
        <v>2</v>
      </c>
      <c r="AB17" s="128">
        <f>LABOUR_Cost!$B$17</f>
        <v>7.2154471544715442</v>
      </c>
      <c r="AC17" s="129">
        <f t="shared" si="8"/>
        <v>0.48102981029810293</v>
      </c>
      <c r="AD17" s="130">
        <f t="shared" si="9"/>
        <v>0.74400988012942737</v>
      </c>
      <c r="AE17" s="131">
        <f t="shared" si="0"/>
        <v>134.14831162517032</v>
      </c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</row>
    <row r="18" spans="1:44" s="24" customFormat="1" x14ac:dyDescent="0.2">
      <c r="A18" s="17">
        <v>15</v>
      </c>
      <c r="B18" s="18" t="s">
        <v>157</v>
      </c>
      <c r="C18" s="27" t="s">
        <v>39</v>
      </c>
      <c r="D18" s="26">
        <v>100</v>
      </c>
      <c r="E18" s="26">
        <v>1000</v>
      </c>
      <c r="F18" s="26">
        <v>1000</v>
      </c>
      <c r="G18" s="26">
        <v>70</v>
      </c>
      <c r="H18" s="26">
        <v>70</v>
      </c>
      <c r="I18" s="21">
        <v>13.8</v>
      </c>
      <c r="J18" s="145">
        <f t="shared" si="1"/>
        <v>69</v>
      </c>
      <c r="K18" s="22">
        <f t="shared" si="12"/>
        <v>238.04999999999995</v>
      </c>
      <c r="L18" s="142">
        <f t="shared" si="13"/>
        <v>1.3224999999999998</v>
      </c>
      <c r="M18" s="144">
        <f t="shared" si="2"/>
        <v>70.322500000000005</v>
      </c>
      <c r="N18" s="23">
        <v>300</v>
      </c>
      <c r="O18" s="103">
        <f t="shared" si="11"/>
        <v>400</v>
      </c>
      <c r="P18" s="109" t="s">
        <v>169</v>
      </c>
      <c r="Q18" s="142">
        <f>'Equipment Costs(Press_Machine)'!$F$43</f>
        <v>34.596963925955478</v>
      </c>
      <c r="R18" s="22">
        <f t="shared" si="3"/>
        <v>9</v>
      </c>
      <c r="S18" s="136">
        <f t="shared" si="4"/>
        <v>3.844107102883942</v>
      </c>
      <c r="T18" s="114">
        <v>2</v>
      </c>
      <c r="U18" s="128">
        <f>LABOUR_Cost!$B$17</f>
        <v>7.2154471544715442</v>
      </c>
      <c r="V18" s="129">
        <f t="shared" si="5"/>
        <v>1.6034327009936764</v>
      </c>
      <c r="W18" s="138">
        <f t="shared" si="6"/>
        <v>5.4475398038776186</v>
      </c>
      <c r="X18" s="136">
        <f>'Equipment Costs(Drilling)'!$F$39</f>
        <v>7.8894020949397339</v>
      </c>
      <c r="Y18" s="102">
        <v>30</v>
      </c>
      <c r="Z18" s="136">
        <f t="shared" si="7"/>
        <v>0.26298006983132444</v>
      </c>
      <c r="AA18" s="114">
        <v>2</v>
      </c>
      <c r="AB18" s="128">
        <f>LABOUR_Cost!$B$17</f>
        <v>7.2154471544715442</v>
      </c>
      <c r="AC18" s="129">
        <f t="shared" si="8"/>
        <v>0.48102981029810293</v>
      </c>
      <c r="AD18" s="130">
        <f t="shared" si="9"/>
        <v>0.74400988012942737</v>
      </c>
      <c r="AE18" s="131">
        <f t="shared" si="0"/>
        <v>76.514049684007048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</row>
    <row r="19" spans="1:44" s="24" customFormat="1" x14ac:dyDescent="0.2">
      <c r="A19" s="17">
        <v>16</v>
      </c>
      <c r="B19" s="18" t="s">
        <v>158</v>
      </c>
      <c r="C19" s="27" t="s">
        <v>39</v>
      </c>
      <c r="D19" s="26">
        <v>200</v>
      </c>
      <c r="E19" s="26">
        <v>1000</v>
      </c>
      <c r="F19" s="26">
        <v>1000</v>
      </c>
      <c r="G19" s="26">
        <v>72</v>
      </c>
      <c r="H19" s="26">
        <v>72</v>
      </c>
      <c r="I19" s="21">
        <v>17</v>
      </c>
      <c r="J19" s="145">
        <f t="shared" si="1"/>
        <v>85</v>
      </c>
      <c r="K19" s="22">
        <f t="shared" si="12"/>
        <v>238.04999999999995</v>
      </c>
      <c r="L19" s="142">
        <f t="shared" si="13"/>
        <v>1.3224999999999998</v>
      </c>
      <c r="M19" s="144">
        <f t="shared" si="2"/>
        <v>86.322500000000005</v>
      </c>
      <c r="N19" s="23">
        <v>360</v>
      </c>
      <c r="O19" s="103">
        <f t="shared" si="11"/>
        <v>460</v>
      </c>
      <c r="P19" s="109" t="s">
        <v>169</v>
      </c>
      <c r="Q19" s="142">
        <f>'Equipment Costs(Press_Machine)'!$F$43</f>
        <v>34.596963925955478</v>
      </c>
      <c r="R19" s="22">
        <f t="shared" si="3"/>
        <v>7.8260869565217392</v>
      </c>
      <c r="S19" s="136">
        <f t="shared" si="4"/>
        <v>4.4207231683165329</v>
      </c>
      <c r="T19" s="114">
        <v>2</v>
      </c>
      <c r="U19" s="128">
        <f>LABOUR_Cost!$B$17</f>
        <v>7.2154471544715442</v>
      </c>
      <c r="V19" s="129">
        <f t="shared" si="5"/>
        <v>1.843947606142728</v>
      </c>
      <c r="W19" s="138">
        <f t="shared" si="6"/>
        <v>6.2646707744592609</v>
      </c>
      <c r="X19" s="136">
        <f>'Equipment Costs(Drilling)'!$F$39</f>
        <v>7.8894020949397339</v>
      </c>
      <c r="Y19" s="102">
        <v>30</v>
      </c>
      <c r="Z19" s="136">
        <f t="shared" si="7"/>
        <v>0.26298006983132444</v>
      </c>
      <c r="AA19" s="114">
        <v>2</v>
      </c>
      <c r="AB19" s="128">
        <f>LABOUR_Cost!$B$17</f>
        <v>7.2154471544715442</v>
      </c>
      <c r="AC19" s="129">
        <f t="shared" si="8"/>
        <v>0.48102981029810293</v>
      </c>
      <c r="AD19" s="130">
        <f t="shared" si="9"/>
        <v>0.74400988012942737</v>
      </c>
      <c r="AE19" s="131">
        <f t="shared" si="0"/>
        <v>93.331180654588692</v>
      </c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</row>
    <row r="20" spans="1:44" s="24" customFormat="1" x14ac:dyDescent="0.2">
      <c r="A20" s="116">
        <v>17</v>
      </c>
      <c r="B20" s="18" t="s">
        <v>159</v>
      </c>
      <c r="C20" s="27" t="s">
        <v>39</v>
      </c>
      <c r="D20" s="26">
        <v>300</v>
      </c>
      <c r="E20" s="26">
        <v>1000</v>
      </c>
      <c r="F20" s="26">
        <v>1000</v>
      </c>
      <c r="G20" s="26">
        <v>74</v>
      </c>
      <c r="H20" s="26">
        <v>74</v>
      </c>
      <c r="I20" s="21">
        <v>21</v>
      </c>
      <c r="J20" s="145">
        <f t="shared" si="1"/>
        <v>105</v>
      </c>
      <c r="K20" s="22">
        <f t="shared" si="12"/>
        <v>238.04999999999995</v>
      </c>
      <c r="L20" s="142">
        <f t="shared" si="13"/>
        <v>1.3224999999999998</v>
      </c>
      <c r="M20" s="144">
        <f t="shared" si="2"/>
        <v>106.32250000000001</v>
      </c>
      <c r="N20" s="23">
        <v>360</v>
      </c>
      <c r="O20" s="103">
        <f t="shared" si="11"/>
        <v>460</v>
      </c>
      <c r="P20" s="109" t="s">
        <v>169</v>
      </c>
      <c r="Q20" s="142">
        <f>'Equipment Costs(Press_Machine)'!$F$43</f>
        <v>34.596963925955478</v>
      </c>
      <c r="R20" s="22">
        <f t="shared" si="3"/>
        <v>7.8260869565217392</v>
      </c>
      <c r="S20" s="136">
        <f t="shared" si="4"/>
        <v>4.4207231683165329</v>
      </c>
      <c r="T20" s="114">
        <v>2</v>
      </c>
      <c r="U20" s="128">
        <f>LABOUR_Cost!$B$17</f>
        <v>7.2154471544715442</v>
      </c>
      <c r="V20" s="129">
        <f t="shared" si="5"/>
        <v>1.843947606142728</v>
      </c>
      <c r="W20" s="138">
        <f t="shared" si="6"/>
        <v>6.2646707744592609</v>
      </c>
      <c r="X20" s="136">
        <f>'Equipment Costs(Drilling)'!$F$39</f>
        <v>7.8894020949397339</v>
      </c>
      <c r="Y20" s="102">
        <v>30</v>
      </c>
      <c r="Z20" s="136">
        <f t="shared" si="7"/>
        <v>0.26298006983132444</v>
      </c>
      <c r="AA20" s="114">
        <v>2</v>
      </c>
      <c r="AB20" s="128">
        <f>LABOUR_Cost!$B$17</f>
        <v>7.2154471544715442</v>
      </c>
      <c r="AC20" s="129">
        <f t="shared" si="8"/>
        <v>0.48102981029810293</v>
      </c>
      <c r="AD20" s="130">
        <f t="shared" si="9"/>
        <v>0.74400988012942737</v>
      </c>
      <c r="AE20" s="131">
        <f t="shared" si="0"/>
        <v>113.33118065458869</v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</row>
    <row r="21" spans="1:44" s="24" customFormat="1" x14ac:dyDescent="0.2">
      <c r="A21" s="17">
        <v>18</v>
      </c>
      <c r="B21" s="18" t="s">
        <v>160</v>
      </c>
      <c r="C21" s="27" t="s">
        <v>39</v>
      </c>
      <c r="D21" s="26">
        <v>400</v>
      </c>
      <c r="E21" s="26">
        <v>1000</v>
      </c>
      <c r="F21" s="26">
        <v>1000</v>
      </c>
      <c r="G21" s="26">
        <v>77</v>
      </c>
      <c r="H21" s="26">
        <v>77</v>
      </c>
      <c r="I21" s="21">
        <v>26.5</v>
      </c>
      <c r="J21" s="145">
        <f t="shared" si="1"/>
        <v>132.5</v>
      </c>
      <c r="K21" s="22">
        <f t="shared" si="12"/>
        <v>238.04999999999995</v>
      </c>
      <c r="L21" s="142">
        <f t="shared" si="13"/>
        <v>1.3224999999999998</v>
      </c>
      <c r="M21" s="144">
        <f t="shared" si="2"/>
        <v>133.82249999999999</v>
      </c>
      <c r="N21" s="23">
        <v>420</v>
      </c>
      <c r="O21" s="103">
        <f t="shared" si="11"/>
        <v>520</v>
      </c>
      <c r="P21" s="109" t="s">
        <v>169</v>
      </c>
      <c r="Q21" s="142">
        <f>'Equipment Costs(Press_Machine)'!$F$43</f>
        <v>34.596963925955478</v>
      </c>
      <c r="R21" s="22">
        <f t="shared" si="3"/>
        <v>6.9230769230769234</v>
      </c>
      <c r="S21" s="136">
        <f t="shared" si="4"/>
        <v>4.9973392337491243</v>
      </c>
      <c r="T21" s="114">
        <v>2</v>
      </c>
      <c r="U21" s="128">
        <f>LABOUR_Cost!$B$17</f>
        <v>7.2154471544715442</v>
      </c>
      <c r="V21" s="129">
        <f t="shared" si="5"/>
        <v>2.0844625112917794</v>
      </c>
      <c r="W21" s="138">
        <f t="shared" si="6"/>
        <v>7.0818017450409041</v>
      </c>
      <c r="X21" s="136">
        <f>'Equipment Costs(Drilling)'!$F$39</f>
        <v>7.8894020949397339</v>
      </c>
      <c r="Y21" s="102">
        <v>30</v>
      </c>
      <c r="Z21" s="136">
        <f t="shared" si="7"/>
        <v>0.26298006983132444</v>
      </c>
      <c r="AA21" s="114">
        <v>2</v>
      </c>
      <c r="AB21" s="128">
        <f>LABOUR_Cost!$B$17</f>
        <v>7.2154471544715442</v>
      </c>
      <c r="AC21" s="129">
        <f t="shared" si="8"/>
        <v>0.48102981029810293</v>
      </c>
      <c r="AD21" s="130">
        <f t="shared" si="9"/>
        <v>0.74400988012942737</v>
      </c>
      <c r="AE21" s="131">
        <f t="shared" si="0"/>
        <v>141.64831162517032</v>
      </c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</row>
    <row r="22" spans="1:44" s="24" customFormat="1" x14ac:dyDescent="0.2">
      <c r="A22" s="17">
        <v>19</v>
      </c>
      <c r="B22" s="18" t="s">
        <v>161</v>
      </c>
      <c r="C22" s="25" t="s">
        <v>40</v>
      </c>
      <c r="D22" s="26">
        <v>100</v>
      </c>
      <c r="E22" s="26">
        <v>930</v>
      </c>
      <c r="F22" s="26">
        <v>1000</v>
      </c>
      <c r="G22" s="26">
        <v>68.5</v>
      </c>
      <c r="H22" s="26">
        <v>68.5</v>
      </c>
      <c r="I22" s="21">
        <f>ROUNDUP(10.9+1.8*0.93*1,1)</f>
        <v>12.6</v>
      </c>
      <c r="J22" s="145">
        <f t="shared" si="1"/>
        <v>63</v>
      </c>
      <c r="K22" s="22">
        <f t="shared" si="12"/>
        <v>238.04999999999995</v>
      </c>
      <c r="L22" s="142">
        <f t="shared" si="13"/>
        <v>1.3224999999999998</v>
      </c>
      <c r="M22" s="144">
        <f t="shared" si="2"/>
        <v>64.322500000000005</v>
      </c>
      <c r="N22" s="23">
        <f>60*5+30</f>
        <v>330</v>
      </c>
      <c r="O22" s="103">
        <f t="shared" si="11"/>
        <v>430</v>
      </c>
      <c r="P22" s="109" t="s">
        <v>169</v>
      </c>
      <c r="Q22" s="142">
        <f>'Equipment Costs(Press_Machine)'!$F$43</f>
        <v>34.596963925955478</v>
      </c>
      <c r="R22" s="22">
        <f t="shared" si="3"/>
        <v>8.3720930232558146</v>
      </c>
      <c r="S22" s="136">
        <f t="shared" si="4"/>
        <v>4.1324151356002377</v>
      </c>
      <c r="T22" s="114">
        <v>2</v>
      </c>
      <c r="U22" s="128">
        <f>LABOUR_Cost!$B$17</f>
        <v>7.2154471544715442</v>
      </c>
      <c r="V22" s="129">
        <f t="shared" si="5"/>
        <v>1.7236901535682021</v>
      </c>
      <c r="W22" s="138">
        <f t="shared" si="6"/>
        <v>5.8561052891684398</v>
      </c>
      <c r="X22" s="136">
        <f>'Equipment Costs(Drilling)'!$F$39</f>
        <v>7.8894020949397339</v>
      </c>
      <c r="Y22" s="102">
        <v>30</v>
      </c>
      <c r="Z22" s="136">
        <f t="shared" si="7"/>
        <v>0.26298006983132444</v>
      </c>
      <c r="AA22" s="114">
        <v>2</v>
      </c>
      <c r="AB22" s="128">
        <f>LABOUR_Cost!$B$17</f>
        <v>7.2154471544715442</v>
      </c>
      <c r="AC22" s="129">
        <f t="shared" si="8"/>
        <v>0.48102981029810293</v>
      </c>
      <c r="AD22" s="130">
        <f t="shared" si="9"/>
        <v>0.74400988012942737</v>
      </c>
      <c r="AE22" s="131">
        <f t="shared" si="0"/>
        <v>70.92261516929787</v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</row>
    <row r="23" spans="1:44" s="24" customFormat="1" x14ac:dyDescent="0.2">
      <c r="A23" s="116">
        <v>20</v>
      </c>
      <c r="B23" s="18" t="s">
        <v>162</v>
      </c>
      <c r="C23" s="25" t="s">
        <v>40</v>
      </c>
      <c r="D23" s="26">
        <v>200</v>
      </c>
      <c r="E23" s="26">
        <v>930</v>
      </c>
      <c r="F23" s="26">
        <v>1000</v>
      </c>
      <c r="G23" s="26">
        <f>68.5+2.5</f>
        <v>71</v>
      </c>
      <c r="H23" s="26">
        <f>68.5+2.5</f>
        <v>71</v>
      </c>
      <c r="I23" s="21">
        <f>ROUNDUP(10.9+1.8*0.93*1*2.5,1)</f>
        <v>15.1</v>
      </c>
      <c r="J23" s="145">
        <f t="shared" si="1"/>
        <v>75.5</v>
      </c>
      <c r="K23" s="22">
        <f t="shared" si="12"/>
        <v>238.04999999999995</v>
      </c>
      <c r="L23" s="142">
        <f t="shared" si="13"/>
        <v>1.3224999999999998</v>
      </c>
      <c r="M23" s="144">
        <f t="shared" si="2"/>
        <v>76.822500000000005</v>
      </c>
      <c r="N23" s="23">
        <f>60*6+30</f>
        <v>390</v>
      </c>
      <c r="O23" s="103">
        <f t="shared" si="11"/>
        <v>490</v>
      </c>
      <c r="P23" s="109" t="s">
        <v>169</v>
      </c>
      <c r="Q23" s="142">
        <f>'Equipment Costs(Press_Machine)'!$F$43</f>
        <v>34.596963925955478</v>
      </c>
      <c r="R23" s="22">
        <f t="shared" si="3"/>
        <v>7.3469387755102042</v>
      </c>
      <c r="S23" s="136">
        <f t="shared" si="4"/>
        <v>4.709031201032829</v>
      </c>
      <c r="T23" s="114">
        <v>2</v>
      </c>
      <c r="U23" s="128">
        <f>LABOUR_Cost!$B$17</f>
        <v>7.2154471544715442</v>
      </c>
      <c r="V23" s="129">
        <f t="shared" si="5"/>
        <v>1.9642050587172537</v>
      </c>
      <c r="W23" s="138">
        <f t="shared" si="6"/>
        <v>6.6732362597500829</v>
      </c>
      <c r="X23" s="136">
        <f>'Equipment Costs(Drilling)'!$F$39</f>
        <v>7.8894020949397339</v>
      </c>
      <c r="Y23" s="102">
        <v>30</v>
      </c>
      <c r="Z23" s="136">
        <f t="shared" si="7"/>
        <v>0.26298006983132444</v>
      </c>
      <c r="AA23" s="114">
        <v>2</v>
      </c>
      <c r="AB23" s="128">
        <f>LABOUR_Cost!$B$17</f>
        <v>7.2154471544715442</v>
      </c>
      <c r="AC23" s="129">
        <f t="shared" si="8"/>
        <v>0.48102981029810293</v>
      </c>
      <c r="AD23" s="130">
        <f t="shared" si="9"/>
        <v>0.74400988012942737</v>
      </c>
      <c r="AE23" s="131">
        <f t="shared" si="0"/>
        <v>84.239746139879514</v>
      </c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</row>
    <row r="24" spans="1:44" s="24" customFormat="1" x14ac:dyDescent="0.2">
      <c r="A24" s="17">
        <v>21</v>
      </c>
      <c r="B24" s="18" t="s">
        <v>163</v>
      </c>
      <c r="C24" s="25" t="s">
        <v>40</v>
      </c>
      <c r="D24" s="26">
        <v>300</v>
      </c>
      <c r="E24" s="26">
        <v>930</v>
      </c>
      <c r="F24" s="26">
        <v>1000</v>
      </c>
      <c r="G24" s="28">
        <f>68.5+5.5</f>
        <v>74</v>
      </c>
      <c r="H24" s="28">
        <f>68.5+5.5</f>
        <v>74</v>
      </c>
      <c r="I24" s="21">
        <f>ROUNDUP(10.9+1.8*0.93*1*4.5,1)</f>
        <v>18.5</v>
      </c>
      <c r="J24" s="145">
        <f t="shared" si="1"/>
        <v>92.5</v>
      </c>
      <c r="K24" s="22">
        <f t="shared" si="12"/>
        <v>238.04999999999995</v>
      </c>
      <c r="L24" s="142">
        <f t="shared" si="13"/>
        <v>1.3224999999999998</v>
      </c>
      <c r="M24" s="144">
        <f t="shared" si="2"/>
        <v>93.822500000000005</v>
      </c>
      <c r="N24" s="23">
        <f>60*6+30</f>
        <v>390</v>
      </c>
      <c r="O24" s="103">
        <f t="shared" si="11"/>
        <v>490</v>
      </c>
      <c r="P24" s="109" t="s">
        <v>169</v>
      </c>
      <c r="Q24" s="142">
        <f>'Equipment Costs(Press_Machine)'!$F$43</f>
        <v>34.596963925955478</v>
      </c>
      <c r="R24" s="22">
        <f t="shared" si="3"/>
        <v>7.3469387755102042</v>
      </c>
      <c r="S24" s="136">
        <f t="shared" si="4"/>
        <v>4.709031201032829</v>
      </c>
      <c r="T24" s="114">
        <v>2</v>
      </c>
      <c r="U24" s="128">
        <f>LABOUR_Cost!$B$17</f>
        <v>7.2154471544715442</v>
      </c>
      <c r="V24" s="129">
        <f t="shared" si="5"/>
        <v>1.9642050587172537</v>
      </c>
      <c r="W24" s="138">
        <f t="shared" si="6"/>
        <v>6.6732362597500829</v>
      </c>
      <c r="X24" s="136">
        <f>'Equipment Costs(Drilling)'!$F$39</f>
        <v>7.8894020949397339</v>
      </c>
      <c r="Y24" s="102">
        <v>30</v>
      </c>
      <c r="Z24" s="136">
        <f t="shared" si="7"/>
        <v>0.26298006983132444</v>
      </c>
      <c r="AA24" s="114">
        <v>2</v>
      </c>
      <c r="AB24" s="128">
        <f>LABOUR_Cost!$B$17</f>
        <v>7.2154471544715442</v>
      </c>
      <c r="AC24" s="129">
        <f t="shared" si="8"/>
        <v>0.48102981029810293</v>
      </c>
      <c r="AD24" s="130">
        <f t="shared" si="9"/>
        <v>0.74400988012942737</v>
      </c>
      <c r="AE24" s="131">
        <f t="shared" si="0"/>
        <v>101.23974613987951</v>
      </c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</row>
    <row r="25" spans="1:44" s="24" customFormat="1" x14ac:dyDescent="0.2">
      <c r="A25" s="17">
        <v>22</v>
      </c>
      <c r="B25" s="18" t="s">
        <v>164</v>
      </c>
      <c r="C25" s="25" t="s">
        <v>40</v>
      </c>
      <c r="D25" s="26">
        <v>400</v>
      </c>
      <c r="E25" s="26">
        <v>930</v>
      </c>
      <c r="F25" s="26">
        <v>1000</v>
      </c>
      <c r="G25" s="26">
        <f>68.5+7.5</f>
        <v>76</v>
      </c>
      <c r="H25" s="26">
        <f>68.5+7.5</f>
        <v>76</v>
      </c>
      <c r="I25" s="21">
        <f>ROUNDUP(10.9+1.8*0.93*1*6,1)</f>
        <v>21</v>
      </c>
      <c r="J25" s="145">
        <f t="shared" si="1"/>
        <v>105</v>
      </c>
      <c r="K25" s="22">
        <f t="shared" si="12"/>
        <v>238.04999999999995</v>
      </c>
      <c r="L25" s="142">
        <f t="shared" si="13"/>
        <v>1.3224999999999998</v>
      </c>
      <c r="M25" s="144">
        <f t="shared" si="2"/>
        <v>106.32250000000001</v>
      </c>
      <c r="N25" s="23">
        <f>60*9+30</f>
        <v>570</v>
      </c>
      <c r="O25" s="103">
        <f t="shared" si="11"/>
        <v>670</v>
      </c>
      <c r="P25" s="109" t="s">
        <v>169</v>
      </c>
      <c r="Q25" s="142">
        <f>'Equipment Costs(Press_Machine)'!$F$43</f>
        <v>34.596963925955478</v>
      </c>
      <c r="R25" s="22">
        <f t="shared" si="3"/>
        <v>5.3731343283582094</v>
      </c>
      <c r="S25" s="136">
        <f t="shared" si="4"/>
        <v>6.4388793973306022</v>
      </c>
      <c r="T25" s="114">
        <v>2</v>
      </c>
      <c r="U25" s="128">
        <f>LABOUR_Cost!$B$17</f>
        <v>7.2154471544715442</v>
      </c>
      <c r="V25" s="129">
        <f t="shared" si="5"/>
        <v>2.6857497741644081</v>
      </c>
      <c r="W25" s="138">
        <f t="shared" si="6"/>
        <v>9.1246291714950107</v>
      </c>
      <c r="X25" s="136">
        <f>'Equipment Costs(Drilling)'!$F$39</f>
        <v>7.8894020949397339</v>
      </c>
      <c r="Y25" s="102">
        <v>30</v>
      </c>
      <c r="Z25" s="136">
        <f t="shared" si="7"/>
        <v>0.26298006983132444</v>
      </c>
      <c r="AA25" s="114">
        <v>2</v>
      </c>
      <c r="AB25" s="128">
        <f>LABOUR_Cost!$B$17</f>
        <v>7.2154471544715442</v>
      </c>
      <c r="AC25" s="129">
        <f t="shared" si="8"/>
        <v>0.48102981029810293</v>
      </c>
      <c r="AD25" s="130">
        <f t="shared" si="9"/>
        <v>0.74400988012942737</v>
      </c>
      <c r="AE25" s="131">
        <f t="shared" si="0"/>
        <v>116.19113905162445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</row>
    <row r="26" spans="1:44" s="24" customFormat="1" x14ac:dyDescent="0.2">
      <c r="A26" s="116">
        <v>23</v>
      </c>
      <c r="B26" s="18" t="s">
        <v>165</v>
      </c>
      <c r="C26" s="27" t="s">
        <v>141</v>
      </c>
      <c r="D26" s="26">
        <v>150</v>
      </c>
      <c r="E26" s="26">
        <v>1000</v>
      </c>
      <c r="F26" s="26">
        <v>1500</v>
      </c>
      <c r="G26" s="26">
        <v>70</v>
      </c>
      <c r="H26" s="26">
        <v>70</v>
      </c>
      <c r="I26" s="21">
        <v>19.3</v>
      </c>
      <c r="J26" s="145">
        <f t="shared" si="1"/>
        <v>96.5</v>
      </c>
      <c r="K26" s="22">
        <f>1.15*1.65*180</f>
        <v>341.54999999999995</v>
      </c>
      <c r="L26" s="142">
        <f t="shared" si="13"/>
        <v>1.8974999999999997</v>
      </c>
      <c r="M26" s="144">
        <f t="shared" si="2"/>
        <v>98.397499999999994</v>
      </c>
      <c r="N26" s="23">
        <v>300</v>
      </c>
      <c r="O26" s="103">
        <f t="shared" si="11"/>
        <v>400</v>
      </c>
      <c r="P26" s="109" t="s">
        <v>167</v>
      </c>
      <c r="Q26" s="142">
        <f>'Equipment Costs(Press_Machine)'!$F$43</f>
        <v>34.596963925955478</v>
      </c>
      <c r="R26" s="22">
        <f t="shared" si="3"/>
        <v>9</v>
      </c>
      <c r="S26" s="136">
        <f t="shared" si="4"/>
        <v>3.844107102883942</v>
      </c>
      <c r="T26" s="114">
        <v>2</v>
      </c>
      <c r="U26" s="128">
        <f>LABOUR_Cost!$B$17</f>
        <v>7.2154471544715442</v>
      </c>
      <c r="V26" s="129">
        <f t="shared" si="5"/>
        <v>1.6034327009936764</v>
      </c>
      <c r="W26" s="138">
        <f t="shared" si="6"/>
        <v>5.4475398038776186</v>
      </c>
      <c r="X26" s="136">
        <f>'Equipment Costs(Drilling)'!$F$39</f>
        <v>7.8894020949397339</v>
      </c>
      <c r="Y26" s="102">
        <v>30</v>
      </c>
      <c r="Z26" s="136">
        <f t="shared" si="7"/>
        <v>0.26298006983132444</v>
      </c>
      <c r="AA26" s="114">
        <v>2</v>
      </c>
      <c r="AB26" s="128">
        <f>LABOUR_Cost!$B$17</f>
        <v>7.2154471544715442</v>
      </c>
      <c r="AC26" s="129">
        <f t="shared" si="8"/>
        <v>0.48102981029810293</v>
      </c>
      <c r="AD26" s="130">
        <f t="shared" si="9"/>
        <v>0.74400988012942737</v>
      </c>
      <c r="AE26" s="131">
        <f t="shared" si="0"/>
        <v>104.58904968400704</v>
      </c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</row>
    <row r="27" spans="1:44" s="24" customFormat="1" ht="15" thickBot="1" x14ac:dyDescent="0.25">
      <c r="A27" s="17">
        <v>24</v>
      </c>
      <c r="B27" s="18" t="s">
        <v>166</v>
      </c>
      <c r="C27" s="27" t="s">
        <v>142</v>
      </c>
      <c r="D27" s="26">
        <v>200</v>
      </c>
      <c r="E27" s="26">
        <v>1000</v>
      </c>
      <c r="F27" s="26">
        <v>2000</v>
      </c>
      <c r="G27" s="26">
        <v>70</v>
      </c>
      <c r="H27" s="26">
        <v>70</v>
      </c>
      <c r="I27" s="21">
        <v>29</v>
      </c>
      <c r="J27" s="145">
        <f t="shared" si="1"/>
        <v>145</v>
      </c>
      <c r="K27" s="22">
        <f>1.15*2.15*180</f>
        <v>445.04999999999995</v>
      </c>
      <c r="L27" s="142">
        <f>K27*$L$2*2</f>
        <v>4.9449999999999994</v>
      </c>
      <c r="M27" s="144">
        <f t="shared" si="2"/>
        <v>149.94499999999999</v>
      </c>
      <c r="N27" s="23">
        <v>300</v>
      </c>
      <c r="O27" s="103">
        <f t="shared" si="11"/>
        <v>400</v>
      </c>
      <c r="P27" s="110" t="s">
        <v>167</v>
      </c>
      <c r="Q27" s="143">
        <f>'Equipment Costs(Press_Machine)'!$F$43</f>
        <v>34.596963925955478</v>
      </c>
      <c r="R27" s="22">
        <f t="shared" si="3"/>
        <v>9</v>
      </c>
      <c r="S27" s="137">
        <f t="shared" si="4"/>
        <v>3.844107102883942</v>
      </c>
      <c r="T27" s="115">
        <v>2</v>
      </c>
      <c r="U27" s="133">
        <f>LABOUR_Cost!$B$17</f>
        <v>7.2154471544715442</v>
      </c>
      <c r="V27" s="134">
        <f t="shared" si="5"/>
        <v>1.6034327009936764</v>
      </c>
      <c r="W27" s="140">
        <f t="shared" si="6"/>
        <v>5.4475398038776186</v>
      </c>
      <c r="X27" s="137">
        <f>'Equipment Costs(Drilling)'!$F$39</f>
        <v>7.8894020949397339</v>
      </c>
      <c r="Y27" s="102">
        <v>30</v>
      </c>
      <c r="Z27" s="137">
        <f t="shared" si="7"/>
        <v>0.26298006983132444</v>
      </c>
      <c r="AA27" s="115">
        <v>2</v>
      </c>
      <c r="AB27" s="133">
        <f>LABOUR_Cost!$B$17</f>
        <v>7.2154471544715442</v>
      </c>
      <c r="AC27" s="134">
        <f t="shared" si="8"/>
        <v>0.48102981029810293</v>
      </c>
      <c r="AD27" s="135">
        <f t="shared" si="9"/>
        <v>0.74400988012942737</v>
      </c>
      <c r="AE27" s="131">
        <f t="shared" si="0"/>
        <v>156.13654968400704</v>
      </c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</row>
    <row r="28" spans="1:44" x14ac:dyDescent="0.2">
      <c r="S28" s="141"/>
    </row>
  </sheetData>
  <mergeCells count="16">
    <mergeCell ref="I1:M1"/>
    <mergeCell ref="A2:A3"/>
    <mergeCell ref="B2:B3"/>
    <mergeCell ref="D2:D3"/>
    <mergeCell ref="E2:H2"/>
    <mergeCell ref="M2:M3"/>
    <mergeCell ref="AK2:AM2"/>
    <mergeCell ref="AN2:AO2"/>
    <mergeCell ref="AP2:AQ2"/>
    <mergeCell ref="N2:N3"/>
    <mergeCell ref="O2:O3"/>
    <mergeCell ref="AE2:AE3"/>
    <mergeCell ref="AF2:AI2"/>
    <mergeCell ref="AJ2:AJ3"/>
    <mergeCell ref="P2:W2"/>
    <mergeCell ref="X2:AD2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54BF-012A-41D6-AA3F-FB3F0B409F46}">
  <dimension ref="A1:K37"/>
  <sheetViews>
    <sheetView topLeftCell="A19" workbookViewId="0">
      <selection activeCell="E37" sqref="E37"/>
    </sheetView>
  </sheetViews>
  <sheetFormatPr defaultColWidth="8.875" defaultRowHeight="24.95" customHeight="1" x14ac:dyDescent="0.3"/>
  <cols>
    <col min="1" max="1" width="35.5" style="31" customWidth="1"/>
    <col min="2" max="2" width="22.875" style="31" bestFit="1" customWidth="1"/>
    <col min="3" max="3" width="21.5" style="31" customWidth="1"/>
    <col min="4" max="6" width="19.625" style="32" customWidth="1"/>
    <col min="7" max="9" width="8.875" style="32"/>
    <col min="10" max="256" width="8.875" style="31"/>
    <col min="257" max="262" width="19.625" style="31" customWidth="1"/>
    <col min="263" max="512" width="8.875" style="31"/>
    <col min="513" max="518" width="19.625" style="31" customWidth="1"/>
    <col min="519" max="768" width="8.875" style="31"/>
    <col min="769" max="774" width="19.625" style="31" customWidth="1"/>
    <col min="775" max="1024" width="8.875" style="31"/>
    <col min="1025" max="1030" width="19.625" style="31" customWidth="1"/>
    <col min="1031" max="1280" width="8.875" style="31"/>
    <col min="1281" max="1286" width="19.625" style="31" customWidth="1"/>
    <col min="1287" max="1536" width="8.875" style="31"/>
    <col min="1537" max="1542" width="19.625" style="31" customWidth="1"/>
    <col min="1543" max="1792" width="8.875" style="31"/>
    <col min="1793" max="1798" width="19.625" style="31" customWidth="1"/>
    <col min="1799" max="2048" width="8.875" style="31"/>
    <col min="2049" max="2054" width="19.625" style="31" customWidth="1"/>
    <col min="2055" max="2304" width="8.875" style="31"/>
    <col min="2305" max="2310" width="19.625" style="31" customWidth="1"/>
    <col min="2311" max="2560" width="8.875" style="31"/>
    <col min="2561" max="2566" width="19.625" style="31" customWidth="1"/>
    <col min="2567" max="2816" width="8.875" style="31"/>
    <col min="2817" max="2822" width="19.625" style="31" customWidth="1"/>
    <col min="2823" max="3072" width="8.875" style="31"/>
    <col min="3073" max="3078" width="19.625" style="31" customWidth="1"/>
    <col min="3079" max="3328" width="8.875" style="31"/>
    <col min="3329" max="3334" width="19.625" style="31" customWidth="1"/>
    <col min="3335" max="3584" width="8.875" style="31"/>
    <col min="3585" max="3590" width="19.625" style="31" customWidth="1"/>
    <col min="3591" max="3840" width="8.875" style="31"/>
    <col min="3841" max="3846" width="19.625" style="31" customWidth="1"/>
    <col min="3847" max="4096" width="8.875" style="31"/>
    <col min="4097" max="4102" width="19.625" style="31" customWidth="1"/>
    <col min="4103" max="4352" width="8.875" style="31"/>
    <col min="4353" max="4358" width="19.625" style="31" customWidth="1"/>
    <col min="4359" max="4608" width="8.875" style="31"/>
    <col min="4609" max="4614" width="19.625" style="31" customWidth="1"/>
    <col min="4615" max="4864" width="8.875" style="31"/>
    <col min="4865" max="4870" width="19.625" style="31" customWidth="1"/>
    <col min="4871" max="5120" width="8.875" style="31"/>
    <col min="5121" max="5126" width="19.625" style="31" customWidth="1"/>
    <col min="5127" max="5376" width="8.875" style="31"/>
    <col min="5377" max="5382" width="19.625" style="31" customWidth="1"/>
    <col min="5383" max="5632" width="8.875" style="31"/>
    <col min="5633" max="5638" width="19.625" style="31" customWidth="1"/>
    <col min="5639" max="5888" width="8.875" style="31"/>
    <col min="5889" max="5894" width="19.625" style="31" customWidth="1"/>
    <col min="5895" max="6144" width="8.875" style="31"/>
    <col min="6145" max="6150" width="19.625" style="31" customWidth="1"/>
    <col min="6151" max="6400" width="8.875" style="31"/>
    <col min="6401" max="6406" width="19.625" style="31" customWidth="1"/>
    <col min="6407" max="6656" width="8.875" style="31"/>
    <col min="6657" max="6662" width="19.625" style="31" customWidth="1"/>
    <col min="6663" max="6912" width="8.875" style="31"/>
    <col min="6913" max="6918" width="19.625" style="31" customWidth="1"/>
    <col min="6919" max="7168" width="8.875" style="31"/>
    <col min="7169" max="7174" width="19.625" style="31" customWidth="1"/>
    <col min="7175" max="7424" width="8.875" style="31"/>
    <col min="7425" max="7430" width="19.625" style="31" customWidth="1"/>
    <col min="7431" max="7680" width="8.875" style="31"/>
    <col min="7681" max="7686" width="19.625" style="31" customWidth="1"/>
    <col min="7687" max="7936" width="8.875" style="31"/>
    <col min="7937" max="7942" width="19.625" style="31" customWidth="1"/>
    <col min="7943" max="8192" width="8.875" style="31"/>
    <col min="8193" max="8198" width="19.625" style="31" customWidth="1"/>
    <col min="8199" max="8448" width="8.875" style="31"/>
    <col min="8449" max="8454" width="19.625" style="31" customWidth="1"/>
    <col min="8455" max="8704" width="8.875" style="31"/>
    <col min="8705" max="8710" width="19.625" style="31" customWidth="1"/>
    <col min="8711" max="8960" width="8.875" style="31"/>
    <col min="8961" max="8966" width="19.625" style="31" customWidth="1"/>
    <col min="8967" max="9216" width="8.875" style="31"/>
    <col min="9217" max="9222" width="19.625" style="31" customWidth="1"/>
    <col min="9223" max="9472" width="8.875" style="31"/>
    <col min="9473" max="9478" width="19.625" style="31" customWidth="1"/>
    <col min="9479" max="9728" width="8.875" style="31"/>
    <col min="9729" max="9734" width="19.625" style="31" customWidth="1"/>
    <col min="9735" max="9984" width="8.875" style="31"/>
    <col min="9985" max="9990" width="19.625" style="31" customWidth="1"/>
    <col min="9991" max="10240" width="8.875" style="31"/>
    <col min="10241" max="10246" width="19.625" style="31" customWidth="1"/>
    <col min="10247" max="10496" width="8.875" style="31"/>
    <col min="10497" max="10502" width="19.625" style="31" customWidth="1"/>
    <col min="10503" max="10752" width="8.875" style="31"/>
    <col min="10753" max="10758" width="19.625" style="31" customWidth="1"/>
    <col min="10759" max="11008" width="8.875" style="31"/>
    <col min="11009" max="11014" width="19.625" style="31" customWidth="1"/>
    <col min="11015" max="11264" width="8.875" style="31"/>
    <col min="11265" max="11270" width="19.625" style="31" customWidth="1"/>
    <col min="11271" max="11520" width="8.875" style="31"/>
    <col min="11521" max="11526" width="19.625" style="31" customWidth="1"/>
    <col min="11527" max="11776" width="8.875" style="31"/>
    <col min="11777" max="11782" width="19.625" style="31" customWidth="1"/>
    <col min="11783" max="12032" width="8.875" style="31"/>
    <col min="12033" max="12038" width="19.625" style="31" customWidth="1"/>
    <col min="12039" max="12288" width="8.875" style="31"/>
    <col min="12289" max="12294" width="19.625" style="31" customWidth="1"/>
    <col min="12295" max="12544" width="8.875" style="31"/>
    <col min="12545" max="12550" width="19.625" style="31" customWidth="1"/>
    <col min="12551" max="12800" width="8.875" style="31"/>
    <col min="12801" max="12806" width="19.625" style="31" customWidth="1"/>
    <col min="12807" max="13056" width="8.875" style="31"/>
    <col min="13057" max="13062" width="19.625" style="31" customWidth="1"/>
    <col min="13063" max="13312" width="8.875" style="31"/>
    <col min="13313" max="13318" width="19.625" style="31" customWidth="1"/>
    <col min="13319" max="13568" width="8.875" style="31"/>
    <col min="13569" max="13574" width="19.625" style="31" customWidth="1"/>
    <col min="13575" max="13824" width="8.875" style="31"/>
    <col min="13825" max="13830" width="19.625" style="31" customWidth="1"/>
    <col min="13831" max="14080" width="8.875" style="31"/>
    <col min="14081" max="14086" width="19.625" style="31" customWidth="1"/>
    <col min="14087" max="14336" width="8.875" style="31"/>
    <col min="14337" max="14342" width="19.625" style="31" customWidth="1"/>
    <col min="14343" max="14592" width="8.875" style="31"/>
    <col min="14593" max="14598" width="19.625" style="31" customWidth="1"/>
    <col min="14599" max="14848" width="8.875" style="31"/>
    <col min="14849" max="14854" width="19.625" style="31" customWidth="1"/>
    <col min="14855" max="15104" width="8.875" style="31"/>
    <col min="15105" max="15110" width="19.625" style="31" customWidth="1"/>
    <col min="15111" max="15360" width="8.875" style="31"/>
    <col min="15361" max="15366" width="19.625" style="31" customWidth="1"/>
    <col min="15367" max="15616" width="8.875" style="31"/>
    <col min="15617" max="15622" width="19.625" style="31" customWidth="1"/>
    <col min="15623" max="15872" width="8.875" style="31"/>
    <col min="15873" max="15878" width="19.625" style="31" customWidth="1"/>
    <col min="15879" max="16128" width="8.875" style="31"/>
    <col min="16129" max="16134" width="19.625" style="31" customWidth="1"/>
    <col min="16135" max="16384" width="8.875" style="31"/>
  </cols>
  <sheetData>
    <row r="1" spans="1:11" ht="25.5" x14ac:dyDescent="0.3">
      <c r="A1" s="30" t="s">
        <v>42</v>
      </c>
      <c r="F1" s="98" t="s">
        <v>59</v>
      </c>
    </row>
    <row r="2" spans="1:11" s="34" customFormat="1" ht="18.75" x14ac:dyDescent="0.3">
      <c r="A2" s="33" t="s">
        <v>45</v>
      </c>
      <c r="D2" s="35"/>
      <c r="E2" s="35"/>
      <c r="F2" s="35"/>
      <c r="G2" s="35"/>
      <c r="H2" s="35"/>
      <c r="I2" s="35"/>
    </row>
    <row r="3" spans="1:11" s="39" customFormat="1" ht="33" x14ac:dyDescent="0.3">
      <c r="A3" s="36"/>
      <c r="B3" s="36" t="s">
        <v>43</v>
      </c>
      <c r="C3" s="52" t="s">
        <v>44</v>
      </c>
      <c r="D3" s="43" t="s">
        <v>50</v>
      </c>
      <c r="E3" s="37"/>
      <c r="F3" s="37"/>
      <c r="G3" s="38"/>
      <c r="H3" s="38"/>
      <c r="I3" s="38"/>
    </row>
    <row r="4" spans="1:11" s="39" customFormat="1" ht="16.5" x14ac:dyDescent="0.3">
      <c r="A4" s="36" t="s">
        <v>54</v>
      </c>
      <c r="B4" s="36">
        <v>8</v>
      </c>
      <c r="C4" s="36" t="s">
        <v>48</v>
      </c>
      <c r="D4" s="43">
        <v>160</v>
      </c>
      <c r="E4" s="37"/>
      <c r="F4" s="37"/>
      <c r="G4" s="38"/>
      <c r="H4" s="38"/>
      <c r="I4" s="38"/>
    </row>
    <row r="5" spans="1:11" s="39" customFormat="1" ht="16.5" x14ac:dyDescent="0.3">
      <c r="A5" s="36" t="s">
        <v>115</v>
      </c>
      <c r="B5" s="36">
        <v>4</v>
      </c>
      <c r="C5" s="36" t="s">
        <v>49</v>
      </c>
      <c r="D5" s="43">
        <v>16</v>
      </c>
      <c r="E5" s="37"/>
      <c r="F5" s="37"/>
      <c r="G5" s="38"/>
      <c r="H5" s="38"/>
      <c r="I5" s="38"/>
    </row>
    <row r="6" spans="1:11" s="39" customFormat="1" ht="16.5" x14ac:dyDescent="0.3">
      <c r="A6" s="36" t="s">
        <v>55</v>
      </c>
      <c r="B6" s="36"/>
      <c r="C6" s="36"/>
      <c r="D6" s="43">
        <v>70</v>
      </c>
      <c r="E6" s="37"/>
      <c r="F6" s="37"/>
      <c r="G6" s="38"/>
      <c r="H6" s="38"/>
      <c r="I6" s="38"/>
    </row>
    <row r="7" spans="1:11" s="34" customFormat="1" ht="14.25" x14ac:dyDescent="0.3">
      <c r="A7" s="175" t="s">
        <v>116</v>
      </c>
      <c r="B7" s="176"/>
      <c r="C7" s="177"/>
      <c r="D7" s="40">
        <f>SUM(D4:D6)</f>
        <v>246</v>
      </c>
      <c r="E7" s="41"/>
      <c r="F7" s="41"/>
      <c r="G7" s="35"/>
      <c r="H7" s="35"/>
      <c r="I7" s="35"/>
    </row>
    <row r="8" spans="1:11" s="34" customFormat="1" ht="14.25" x14ac:dyDescent="0.3">
      <c r="D8" s="35"/>
      <c r="E8" s="35"/>
      <c r="F8" s="35"/>
      <c r="G8" s="35"/>
      <c r="H8" s="35"/>
      <c r="I8" s="35"/>
    </row>
    <row r="9" spans="1:11" s="34" customFormat="1" ht="18.75" x14ac:dyDescent="0.3">
      <c r="A9" s="33" t="s">
        <v>117</v>
      </c>
      <c r="D9" s="35"/>
      <c r="E9" s="35"/>
      <c r="F9" s="35"/>
      <c r="G9" s="35"/>
      <c r="H9" s="35"/>
      <c r="I9" s="35"/>
    </row>
    <row r="10" spans="1:11" s="39" customFormat="1" ht="16.5" x14ac:dyDescent="0.3">
      <c r="A10" s="42"/>
      <c r="B10" s="36" t="s">
        <v>56</v>
      </c>
      <c r="C10" s="36" t="s">
        <v>57</v>
      </c>
      <c r="D10" s="43" t="s">
        <v>53</v>
      </c>
      <c r="E10" s="178" t="s">
        <v>58</v>
      </c>
      <c r="F10" s="178"/>
      <c r="G10" s="38"/>
      <c r="H10" s="38"/>
      <c r="I10" s="38"/>
    </row>
    <row r="11" spans="1:11" s="39" customFormat="1" ht="16.5" x14ac:dyDescent="0.3">
      <c r="A11" s="36" t="s">
        <v>42</v>
      </c>
      <c r="B11" s="51">
        <v>12000</v>
      </c>
      <c r="C11" s="51">
        <f>B11/12</f>
        <v>1000</v>
      </c>
      <c r="D11" s="51">
        <f>C11/$D$7</f>
        <v>4.0650406504065044</v>
      </c>
      <c r="E11" s="174"/>
      <c r="F11" s="174"/>
      <c r="G11" s="44"/>
      <c r="H11" s="44"/>
      <c r="I11" s="38"/>
      <c r="J11" s="38"/>
      <c r="K11" s="38"/>
    </row>
    <row r="12" spans="1:11" s="39" customFormat="1" ht="37.9" customHeight="1" x14ac:dyDescent="0.3">
      <c r="A12" s="52" t="s">
        <v>114</v>
      </c>
      <c r="B12" s="51">
        <f>1000</f>
        <v>1000</v>
      </c>
      <c r="C12" s="51">
        <f>B12/12</f>
        <v>83.333333333333329</v>
      </c>
      <c r="D12" s="51">
        <f>C12/$D$7</f>
        <v>0.33875338753387529</v>
      </c>
      <c r="E12" s="174"/>
      <c r="F12" s="174"/>
      <c r="G12" s="44"/>
      <c r="H12" s="44"/>
      <c r="I12" s="38"/>
      <c r="J12" s="38"/>
      <c r="K12" s="38"/>
    </row>
    <row r="13" spans="1:11" s="39" customFormat="1" ht="16.5" x14ac:dyDescent="0.3">
      <c r="A13" s="36" t="s">
        <v>51</v>
      </c>
      <c r="B13" s="51">
        <f>1200000/1000</f>
        <v>1200</v>
      </c>
      <c r="C13" s="51">
        <f>B13/12</f>
        <v>100</v>
      </c>
      <c r="D13" s="51">
        <f>C13/$D$7</f>
        <v>0.4065040650406504</v>
      </c>
      <c r="E13" s="179"/>
      <c r="F13" s="180"/>
      <c r="G13" s="44"/>
      <c r="H13" s="44"/>
      <c r="I13" s="38"/>
      <c r="J13" s="38"/>
      <c r="K13" s="38"/>
    </row>
    <row r="14" spans="1:11" s="39" customFormat="1" ht="17.45" customHeight="1" x14ac:dyDescent="0.3">
      <c r="A14" s="36" t="s">
        <v>52</v>
      </c>
      <c r="B14" s="51">
        <f>B34/2</f>
        <v>7100</v>
      </c>
      <c r="C14" s="51">
        <f>B14/12</f>
        <v>591.66666666666663</v>
      </c>
      <c r="D14" s="51">
        <f>C14/$D$7</f>
        <v>2.4051490514905147</v>
      </c>
      <c r="E14" s="173" t="s">
        <v>127</v>
      </c>
      <c r="F14" s="174"/>
      <c r="G14" s="38"/>
      <c r="H14" s="38"/>
      <c r="I14" s="38"/>
    </row>
    <row r="15" spans="1:11" s="48" customFormat="1" ht="16.5" x14ac:dyDescent="0.3">
      <c r="A15" s="45"/>
      <c r="B15" s="45"/>
      <c r="C15" s="46">
        <f>SUM(C11:C14)</f>
        <v>1775</v>
      </c>
      <c r="D15" s="53">
        <f>SUM(D11:D14)</f>
        <v>7.2154471544715442</v>
      </c>
      <c r="E15" s="181"/>
      <c r="F15" s="181"/>
      <c r="G15" s="47"/>
      <c r="H15" s="47"/>
      <c r="I15" s="47"/>
    </row>
    <row r="16" spans="1:11" s="48" customFormat="1" ht="16.5" x14ac:dyDescent="0.3">
      <c r="A16" s="39"/>
      <c r="B16" s="39"/>
      <c r="C16" s="39"/>
      <c r="D16" s="49"/>
      <c r="E16" s="50"/>
      <c r="F16" s="50"/>
      <c r="G16" s="47"/>
      <c r="H16" s="47"/>
      <c r="I16" s="47"/>
    </row>
    <row r="17" spans="1:6" ht="18" x14ac:dyDescent="0.3">
      <c r="A17" s="99" t="s">
        <v>112</v>
      </c>
      <c r="B17" s="96">
        <f>D15</f>
        <v>7.2154471544715442</v>
      </c>
      <c r="C17" s="97" t="s">
        <v>113</v>
      </c>
    </row>
    <row r="18" spans="1:6" ht="14.25" x14ac:dyDescent="0.3"/>
    <row r="19" spans="1:6" ht="14.25" x14ac:dyDescent="0.3"/>
    <row r="21" spans="1:6" ht="24.95" customHeight="1" x14ac:dyDescent="0.3">
      <c r="A21" s="30" t="s">
        <v>47</v>
      </c>
    </row>
    <row r="22" spans="1:6" ht="24.95" customHeight="1" x14ac:dyDescent="0.3">
      <c r="A22" s="33" t="s">
        <v>45</v>
      </c>
      <c r="B22" s="34"/>
      <c r="C22" s="34"/>
      <c r="D22" s="35"/>
      <c r="E22" s="35"/>
    </row>
    <row r="23" spans="1:6" ht="33" x14ac:dyDescent="0.3">
      <c r="A23" s="36"/>
      <c r="B23" s="36" t="s">
        <v>43</v>
      </c>
      <c r="C23" s="52" t="s">
        <v>44</v>
      </c>
      <c r="D23" s="43" t="s">
        <v>50</v>
      </c>
      <c r="E23" s="37"/>
    </row>
    <row r="24" spans="1:6" ht="24.95" customHeight="1" x14ac:dyDescent="0.3">
      <c r="A24" s="36" t="s">
        <v>54</v>
      </c>
      <c r="B24" s="36">
        <v>8</v>
      </c>
      <c r="C24" s="36" t="s">
        <v>48</v>
      </c>
      <c r="D24" s="43">
        <v>160</v>
      </c>
      <c r="E24" s="37"/>
    </row>
    <row r="25" spans="1:6" ht="24.95" customHeight="1" x14ac:dyDescent="0.3">
      <c r="A25" s="36" t="s">
        <v>115</v>
      </c>
      <c r="B25" s="36">
        <v>4</v>
      </c>
      <c r="C25" s="36" t="s">
        <v>49</v>
      </c>
      <c r="D25" s="43">
        <v>16</v>
      </c>
      <c r="E25" s="37"/>
      <c r="F25" s="37"/>
    </row>
    <row r="26" spans="1:6" ht="24.95" customHeight="1" x14ac:dyDescent="0.3">
      <c r="A26" s="36" t="s">
        <v>55</v>
      </c>
      <c r="B26" s="36"/>
      <c r="C26" s="36"/>
      <c r="D26" s="43">
        <v>70</v>
      </c>
      <c r="E26" s="37"/>
      <c r="F26" s="37"/>
    </row>
    <row r="27" spans="1:6" ht="24.95" customHeight="1" x14ac:dyDescent="0.3">
      <c r="A27" s="175" t="s">
        <v>170</v>
      </c>
      <c r="B27" s="176"/>
      <c r="C27" s="177"/>
      <c r="D27" s="40">
        <f>SUM(D24:D26)</f>
        <v>246</v>
      </c>
      <c r="E27" s="41"/>
      <c r="F27" s="41"/>
    </row>
    <row r="28" spans="1:6" ht="24.95" customHeight="1" x14ac:dyDescent="0.3">
      <c r="A28" s="34"/>
      <c r="B28" s="34"/>
      <c r="C28" s="34"/>
      <c r="D28" s="35"/>
      <c r="E28" s="35"/>
      <c r="F28" s="35"/>
    </row>
    <row r="29" spans="1:6" ht="24.95" customHeight="1" x14ac:dyDescent="0.3">
      <c r="A29" s="33" t="s">
        <v>117</v>
      </c>
      <c r="B29" s="34"/>
      <c r="C29" s="34"/>
      <c r="D29" s="35"/>
      <c r="E29" s="35"/>
      <c r="F29" s="35"/>
    </row>
    <row r="30" spans="1:6" ht="24.95" customHeight="1" x14ac:dyDescent="0.3">
      <c r="A30" s="42"/>
      <c r="B30" s="36" t="s">
        <v>56</v>
      </c>
      <c r="C30" s="36" t="s">
        <v>57</v>
      </c>
      <c r="D30" s="43" t="s">
        <v>53</v>
      </c>
      <c r="E30" s="178" t="s">
        <v>46</v>
      </c>
      <c r="F30" s="178"/>
    </row>
    <row r="31" spans="1:6" ht="37.15" customHeight="1" x14ac:dyDescent="0.3">
      <c r="A31" s="36" t="s">
        <v>42</v>
      </c>
      <c r="B31" s="125">
        <f>1000*12*1</f>
        <v>12000</v>
      </c>
      <c r="C31" s="125">
        <f>B31/12</f>
        <v>1000</v>
      </c>
      <c r="D31" s="125">
        <f>C31/$D$27</f>
        <v>4.0650406504065044</v>
      </c>
      <c r="E31" s="174" t="s">
        <v>126</v>
      </c>
      <c r="F31" s="174"/>
    </row>
    <row r="32" spans="1:6" ht="37.15" customHeight="1" x14ac:dyDescent="0.3">
      <c r="A32" s="52" t="s">
        <v>114</v>
      </c>
      <c r="B32" s="125">
        <f>1000</f>
        <v>1000</v>
      </c>
      <c r="C32" s="125">
        <f>B32/12</f>
        <v>83.333333333333329</v>
      </c>
      <c r="D32" s="125">
        <f>C32/$D$27</f>
        <v>0.33875338753387529</v>
      </c>
      <c r="E32" s="174"/>
      <c r="F32" s="174"/>
    </row>
    <row r="33" spans="1:6" ht="37.15" customHeight="1" x14ac:dyDescent="0.3">
      <c r="A33" s="36" t="s">
        <v>51</v>
      </c>
      <c r="B33" s="125">
        <f>1200000/1000</f>
        <v>1200</v>
      </c>
      <c r="C33" s="125">
        <f>B33/12</f>
        <v>100</v>
      </c>
      <c r="D33" s="125">
        <f>C33/$D$27</f>
        <v>0.4065040650406504</v>
      </c>
      <c r="E33" s="182"/>
      <c r="F33" s="174"/>
    </row>
    <row r="34" spans="1:6" ht="24.95" customHeight="1" x14ac:dyDescent="0.3">
      <c r="A34" s="45"/>
      <c r="B34" s="126">
        <f>SUM(B31:B33)</f>
        <v>14200</v>
      </c>
      <c r="C34" s="127">
        <f>SUM(C31:C33)</f>
        <v>1183.3333333333333</v>
      </c>
      <c r="D34" s="127">
        <f>SUM(D31:D33)</f>
        <v>4.8102981029810294</v>
      </c>
      <c r="E34" s="181"/>
      <c r="F34" s="181"/>
    </row>
    <row r="35" spans="1:6" ht="24.95" customHeight="1" thickBot="1" x14ac:dyDescent="0.35">
      <c r="A35" s="39"/>
      <c r="B35" s="39"/>
      <c r="C35" s="39"/>
      <c r="D35" s="49"/>
      <c r="E35" s="50"/>
      <c r="F35" s="50"/>
    </row>
    <row r="36" spans="1:6" ht="24.95" customHeight="1" thickBot="1" x14ac:dyDescent="0.35">
      <c r="A36" s="100" t="s">
        <v>112</v>
      </c>
      <c r="B36" s="146">
        <f>D15</f>
        <v>7.2154471544715442</v>
      </c>
      <c r="C36" s="101" t="s">
        <v>118</v>
      </c>
    </row>
    <row r="37" spans="1:6" ht="24.95" customHeight="1" thickBot="1" x14ac:dyDescent="0.35">
      <c r="A37" s="100" t="s">
        <v>119</v>
      </c>
      <c r="B37" s="146">
        <f>D34</f>
        <v>4.8102981029810294</v>
      </c>
      <c r="C37" s="101" t="s">
        <v>118</v>
      </c>
    </row>
  </sheetData>
  <mergeCells count="13">
    <mergeCell ref="E34:F34"/>
    <mergeCell ref="E15:F15"/>
    <mergeCell ref="A27:C27"/>
    <mergeCell ref="E30:F30"/>
    <mergeCell ref="E31:F31"/>
    <mergeCell ref="E32:F32"/>
    <mergeCell ref="E33:F33"/>
    <mergeCell ref="E14:F14"/>
    <mergeCell ref="A7:C7"/>
    <mergeCell ref="E10:F10"/>
    <mergeCell ref="E11:F11"/>
    <mergeCell ref="E12:F12"/>
    <mergeCell ref="E13:F1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1C4A-A057-49A6-9EBB-59B390D7EF4F}">
  <dimension ref="A1:J545"/>
  <sheetViews>
    <sheetView zoomScale="85" zoomScaleNormal="85" workbookViewId="0">
      <selection activeCell="E27" sqref="E27"/>
    </sheetView>
  </sheetViews>
  <sheetFormatPr defaultColWidth="8.875" defaultRowHeight="13.5" x14ac:dyDescent="0.3"/>
  <cols>
    <col min="1" max="1" width="15.25" style="54" customWidth="1"/>
    <col min="2" max="2" width="23.375" style="54" customWidth="1"/>
    <col min="3" max="3" width="22.875" style="54" customWidth="1"/>
    <col min="4" max="4" width="23.125" style="54" customWidth="1"/>
    <col min="5" max="5" width="32.25" style="54" customWidth="1"/>
    <col min="6" max="6" width="27.125" style="54" customWidth="1"/>
    <col min="7" max="7" width="31.5" style="54" customWidth="1"/>
    <col min="8" max="9" width="23.25" style="54" customWidth="1"/>
    <col min="10" max="256" width="8.875" style="54"/>
    <col min="257" max="257" width="8.75" style="54" customWidth="1"/>
    <col min="258" max="258" width="10" style="54" customWidth="1"/>
    <col min="259" max="259" width="20.125" style="54" customWidth="1"/>
    <col min="260" max="260" width="16.875" style="54" customWidth="1"/>
    <col min="261" max="265" width="23.25" style="54" customWidth="1"/>
    <col min="266" max="512" width="8.875" style="54"/>
    <col min="513" max="513" width="8.75" style="54" customWidth="1"/>
    <col min="514" max="514" width="10" style="54" customWidth="1"/>
    <col min="515" max="515" width="20.125" style="54" customWidth="1"/>
    <col min="516" max="516" width="16.875" style="54" customWidth="1"/>
    <col min="517" max="521" width="23.25" style="54" customWidth="1"/>
    <col min="522" max="768" width="8.875" style="54"/>
    <col min="769" max="769" width="8.75" style="54" customWidth="1"/>
    <col min="770" max="770" width="10" style="54" customWidth="1"/>
    <col min="771" max="771" width="20.125" style="54" customWidth="1"/>
    <col min="772" max="772" width="16.875" style="54" customWidth="1"/>
    <col min="773" max="777" width="23.25" style="54" customWidth="1"/>
    <col min="778" max="1024" width="8.875" style="54"/>
    <col min="1025" max="1025" width="8.75" style="54" customWidth="1"/>
    <col min="1026" max="1026" width="10" style="54" customWidth="1"/>
    <col min="1027" max="1027" width="20.125" style="54" customWidth="1"/>
    <col min="1028" max="1028" width="16.875" style="54" customWidth="1"/>
    <col min="1029" max="1033" width="23.25" style="54" customWidth="1"/>
    <col min="1034" max="1280" width="8.875" style="54"/>
    <col min="1281" max="1281" width="8.75" style="54" customWidth="1"/>
    <col min="1282" max="1282" width="10" style="54" customWidth="1"/>
    <col min="1283" max="1283" width="20.125" style="54" customWidth="1"/>
    <col min="1284" max="1284" width="16.875" style="54" customWidth="1"/>
    <col min="1285" max="1289" width="23.25" style="54" customWidth="1"/>
    <col min="1290" max="1536" width="8.875" style="54"/>
    <col min="1537" max="1537" width="8.75" style="54" customWidth="1"/>
    <col min="1538" max="1538" width="10" style="54" customWidth="1"/>
    <col min="1539" max="1539" width="20.125" style="54" customWidth="1"/>
    <col min="1540" max="1540" width="16.875" style="54" customWidth="1"/>
    <col min="1541" max="1545" width="23.25" style="54" customWidth="1"/>
    <col min="1546" max="1792" width="8.875" style="54"/>
    <col min="1793" max="1793" width="8.75" style="54" customWidth="1"/>
    <col min="1794" max="1794" width="10" style="54" customWidth="1"/>
    <col min="1795" max="1795" width="20.125" style="54" customWidth="1"/>
    <col min="1796" max="1796" width="16.875" style="54" customWidth="1"/>
    <col min="1797" max="1801" width="23.25" style="54" customWidth="1"/>
    <col min="1802" max="2048" width="8.875" style="54"/>
    <col min="2049" max="2049" width="8.75" style="54" customWidth="1"/>
    <col min="2050" max="2050" width="10" style="54" customWidth="1"/>
    <col min="2051" max="2051" width="20.125" style="54" customWidth="1"/>
    <col min="2052" max="2052" width="16.875" style="54" customWidth="1"/>
    <col min="2053" max="2057" width="23.25" style="54" customWidth="1"/>
    <col min="2058" max="2304" width="8.875" style="54"/>
    <col min="2305" max="2305" width="8.75" style="54" customWidth="1"/>
    <col min="2306" max="2306" width="10" style="54" customWidth="1"/>
    <col min="2307" max="2307" width="20.125" style="54" customWidth="1"/>
    <col min="2308" max="2308" width="16.875" style="54" customWidth="1"/>
    <col min="2309" max="2313" width="23.25" style="54" customWidth="1"/>
    <col min="2314" max="2560" width="8.875" style="54"/>
    <col min="2561" max="2561" width="8.75" style="54" customWidth="1"/>
    <col min="2562" max="2562" width="10" style="54" customWidth="1"/>
    <col min="2563" max="2563" width="20.125" style="54" customWidth="1"/>
    <col min="2564" max="2564" width="16.875" style="54" customWidth="1"/>
    <col min="2565" max="2569" width="23.25" style="54" customWidth="1"/>
    <col min="2570" max="2816" width="8.875" style="54"/>
    <col min="2817" max="2817" width="8.75" style="54" customWidth="1"/>
    <col min="2818" max="2818" width="10" style="54" customWidth="1"/>
    <col min="2819" max="2819" width="20.125" style="54" customWidth="1"/>
    <col min="2820" max="2820" width="16.875" style="54" customWidth="1"/>
    <col min="2821" max="2825" width="23.25" style="54" customWidth="1"/>
    <col min="2826" max="3072" width="8.875" style="54"/>
    <col min="3073" max="3073" width="8.75" style="54" customWidth="1"/>
    <col min="3074" max="3074" width="10" style="54" customWidth="1"/>
    <col min="3075" max="3075" width="20.125" style="54" customWidth="1"/>
    <col min="3076" max="3076" width="16.875" style="54" customWidth="1"/>
    <col min="3077" max="3081" width="23.25" style="54" customWidth="1"/>
    <col min="3082" max="3328" width="8.875" style="54"/>
    <col min="3329" max="3329" width="8.75" style="54" customWidth="1"/>
    <col min="3330" max="3330" width="10" style="54" customWidth="1"/>
    <col min="3331" max="3331" width="20.125" style="54" customWidth="1"/>
    <col min="3332" max="3332" width="16.875" style="54" customWidth="1"/>
    <col min="3333" max="3337" width="23.25" style="54" customWidth="1"/>
    <col min="3338" max="3584" width="8.875" style="54"/>
    <col min="3585" max="3585" width="8.75" style="54" customWidth="1"/>
    <col min="3586" max="3586" width="10" style="54" customWidth="1"/>
    <col min="3587" max="3587" width="20.125" style="54" customWidth="1"/>
    <col min="3588" max="3588" width="16.875" style="54" customWidth="1"/>
    <col min="3589" max="3593" width="23.25" style="54" customWidth="1"/>
    <col min="3594" max="3840" width="8.875" style="54"/>
    <col min="3841" max="3841" width="8.75" style="54" customWidth="1"/>
    <col min="3842" max="3842" width="10" style="54" customWidth="1"/>
    <col min="3843" max="3843" width="20.125" style="54" customWidth="1"/>
    <col min="3844" max="3844" width="16.875" style="54" customWidth="1"/>
    <col min="3845" max="3849" width="23.25" style="54" customWidth="1"/>
    <col min="3850" max="4096" width="8.875" style="54"/>
    <col min="4097" max="4097" width="8.75" style="54" customWidth="1"/>
    <col min="4098" max="4098" width="10" style="54" customWidth="1"/>
    <col min="4099" max="4099" width="20.125" style="54" customWidth="1"/>
    <col min="4100" max="4100" width="16.875" style="54" customWidth="1"/>
    <col min="4101" max="4105" width="23.25" style="54" customWidth="1"/>
    <col min="4106" max="4352" width="8.875" style="54"/>
    <col min="4353" max="4353" width="8.75" style="54" customWidth="1"/>
    <col min="4354" max="4354" width="10" style="54" customWidth="1"/>
    <col min="4355" max="4355" width="20.125" style="54" customWidth="1"/>
    <col min="4356" max="4356" width="16.875" style="54" customWidth="1"/>
    <col min="4357" max="4361" width="23.25" style="54" customWidth="1"/>
    <col min="4362" max="4608" width="8.875" style="54"/>
    <col min="4609" max="4609" width="8.75" style="54" customWidth="1"/>
    <col min="4610" max="4610" width="10" style="54" customWidth="1"/>
    <col min="4611" max="4611" width="20.125" style="54" customWidth="1"/>
    <col min="4612" max="4612" width="16.875" style="54" customWidth="1"/>
    <col min="4613" max="4617" width="23.25" style="54" customWidth="1"/>
    <col min="4618" max="4864" width="8.875" style="54"/>
    <col min="4865" max="4865" width="8.75" style="54" customWidth="1"/>
    <col min="4866" max="4866" width="10" style="54" customWidth="1"/>
    <col min="4867" max="4867" width="20.125" style="54" customWidth="1"/>
    <col min="4868" max="4868" width="16.875" style="54" customWidth="1"/>
    <col min="4869" max="4873" width="23.25" style="54" customWidth="1"/>
    <col min="4874" max="5120" width="8.875" style="54"/>
    <col min="5121" max="5121" width="8.75" style="54" customWidth="1"/>
    <col min="5122" max="5122" width="10" style="54" customWidth="1"/>
    <col min="5123" max="5123" width="20.125" style="54" customWidth="1"/>
    <col min="5124" max="5124" width="16.875" style="54" customWidth="1"/>
    <col min="5125" max="5129" width="23.25" style="54" customWidth="1"/>
    <col min="5130" max="5376" width="8.875" style="54"/>
    <col min="5377" max="5377" width="8.75" style="54" customWidth="1"/>
    <col min="5378" max="5378" width="10" style="54" customWidth="1"/>
    <col min="5379" max="5379" width="20.125" style="54" customWidth="1"/>
    <col min="5380" max="5380" width="16.875" style="54" customWidth="1"/>
    <col min="5381" max="5385" width="23.25" style="54" customWidth="1"/>
    <col min="5386" max="5632" width="8.875" style="54"/>
    <col min="5633" max="5633" width="8.75" style="54" customWidth="1"/>
    <col min="5634" max="5634" width="10" style="54" customWidth="1"/>
    <col min="5635" max="5635" width="20.125" style="54" customWidth="1"/>
    <col min="5636" max="5636" width="16.875" style="54" customWidth="1"/>
    <col min="5637" max="5641" width="23.25" style="54" customWidth="1"/>
    <col min="5642" max="5888" width="8.875" style="54"/>
    <col min="5889" max="5889" width="8.75" style="54" customWidth="1"/>
    <col min="5890" max="5890" width="10" style="54" customWidth="1"/>
    <col min="5891" max="5891" width="20.125" style="54" customWidth="1"/>
    <col min="5892" max="5892" width="16.875" style="54" customWidth="1"/>
    <col min="5893" max="5897" width="23.25" style="54" customWidth="1"/>
    <col min="5898" max="6144" width="8.875" style="54"/>
    <col min="6145" max="6145" width="8.75" style="54" customWidth="1"/>
    <col min="6146" max="6146" width="10" style="54" customWidth="1"/>
    <col min="6147" max="6147" width="20.125" style="54" customWidth="1"/>
    <col min="6148" max="6148" width="16.875" style="54" customWidth="1"/>
    <col min="6149" max="6153" width="23.25" style="54" customWidth="1"/>
    <col min="6154" max="6400" width="8.875" style="54"/>
    <col min="6401" max="6401" width="8.75" style="54" customWidth="1"/>
    <col min="6402" max="6402" width="10" style="54" customWidth="1"/>
    <col min="6403" max="6403" width="20.125" style="54" customWidth="1"/>
    <col min="6404" max="6404" width="16.875" style="54" customWidth="1"/>
    <col min="6405" max="6409" width="23.25" style="54" customWidth="1"/>
    <col min="6410" max="6656" width="8.875" style="54"/>
    <col min="6657" max="6657" width="8.75" style="54" customWidth="1"/>
    <col min="6658" max="6658" width="10" style="54" customWidth="1"/>
    <col min="6659" max="6659" width="20.125" style="54" customWidth="1"/>
    <col min="6660" max="6660" width="16.875" style="54" customWidth="1"/>
    <col min="6661" max="6665" width="23.25" style="54" customWidth="1"/>
    <col min="6666" max="6912" width="8.875" style="54"/>
    <col min="6913" max="6913" width="8.75" style="54" customWidth="1"/>
    <col min="6914" max="6914" width="10" style="54" customWidth="1"/>
    <col min="6915" max="6915" width="20.125" style="54" customWidth="1"/>
    <col min="6916" max="6916" width="16.875" style="54" customWidth="1"/>
    <col min="6917" max="6921" width="23.25" style="54" customWidth="1"/>
    <col min="6922" max="7168" width="8.875" style="54"/>
    <col min="7169" max="7169" width="8.75" style="54" customWidth="1"/>
    <col min="7170" max="7170" width="10" style="54" customWidth="1"/>
    <col min="7171" max="7171" width="20.125" style="54" customWidth="1"/>
    <col min="7172" max="7172" width="16.875" style="54" customWidth="1"/>
    <col min="7173" max="7177" width="23.25" style="54" customWidth="1"/>
    <col min="7178" max="7424" width="8.875" style="54"/>
    <col min="7425" max="7425" width="8.75" style="54" customWidth="1"/>
    <col min="7426" max="7426" width="10" style="54" customWidth="1"/>
    <col min="7427" max="7427" width="20.125" style="54" customWidth="1"/>
    <col min="7428" max="7428" width="16.875" style="54" customWidth="1"/>
    <col min="7429" max="7433" width="23.25" style="54" customWidth="1"/>
    <col min="7434" max="7680" width="8.875" style="54"/>
    <col min="7681" max="7681" width="8.75" style="54" customWidth="1"/>
    <col min="7682" max="7682" width="10" style="54" customWidth="1"/>
    <col min="7683" max="7683" width="20.125" style="54" customWidth="1"/>
    <col min="7684" max="7684" width="16.875" style="54" customWidth="1"/>
    <col min="7685" max="7689" width="23.25" style="54" customWidth="1"/>
    <col min="7690" max="7936" width="8.875" style="54"/>
    <col min="7937" max="7937" width="8.75" style="54" customWidth="1"/>
    <col min="7938" max="7938" width="10" style="54" customWidth="1"/>
    <col min="7939" max="7939" width="20.125" style="54" customWidth="1"/>
    <col min="7940" max="7940" width="16.875" style="54" customWidth="1"/>
    <col min="7941" max="7945" width="23.25" style="54" customWidth="1"/>
    <col min="7946" max="8192" width="8.875" style="54"/>
    <col min="8193" max="8193" width="8.75" style="54" customWidth="1"/>
    <col min="8194" max="8194" width="10" style="54" customWidth="1"/>
    <col min="8195" max="8195" width="20.125" style="54" customWidth="1"/>
    <col min="8196" max="8196" width="16.875" style="54" customWidth="1"/>
    <col min="8197" max="8201" width="23.25" style="54" customWidth="1"/>
    <col min="8202" max="8448" width="8.875" style="54"/>
    <col min="8449" max="8449" width="8.75" style="54" customWidth="1"/>
    <col min="8450" max="8450" width="10" style="54" customWidth="1"/>
    <col min="8451" max="8451" width="20.125" style="54" customWidth="1"/>
    <col min="8452" max="8452" width="16.875" style="54" customWidth="1"/>
    <col min="8453" max="8457" width="23.25" style="54" customWidth="1"/>
    <col min="8458" max="8704" width="8.875" style="54"/>
    <col min="8705" max="8705" width="8.75" style="54" customWidth="1"/>
    <col min="8706" max="8706" width="10" style="54" customWidth="1"/>
    <col min="8707" max="8707" width="20.125" style="54" customWidth="1"/>
    <col min="8708" max="8708" width="16.875" style="54" customWidth="1"/>
    <col min="8709" max="8713" width="23.25" style="54" customWidth="1"/>
    <col min="8714" max="8960" width="8.875" style="54"/>
    <col min="8961" max="8961" width="8.75" style="54" customWidth="1"/>
    <col min="8962" max="8962" width="10" style="54" customWidth="1"/>
    <col min="8963" max="8963" width="20.125" style="54" customWidth="1"/>
    <col min="8964" max="8964" width="16.875" style="54" customWidth="1"/>
    <col min="8965" max="8969" width="23.25" style="54" customWidth="1"/>
    <col min="8970" max="9216" width="8.875" style="54"/>
    <col min="9217" max="9217" width="8.75" style="54" customWidth="1"/>
    <col min="9218" max="9218" width="10" style="54" customWidth="1"/>
    <col min="9219" max="9219" width="20.125" style="54" customWidth="1"/>
    <col min="9220" max="9220" width="16.875" style="54" customWidth="1"/>
    <col min="9221" max="9225" width="23.25" style="54" customWidth="1"/>
    <col min="9226" max="9472" width="8.875" style="54"/>
    <col min="9473" max="9473" width="8.75" style="54" customWidth="1"/>
    <col min="9474" max="9474" width="10" style="54" customWidth="1"/>
    <col min="9475" max="9475" width="20.125" style="54" customWidth="1"/>
    <col min="9476" max="9476" width="16.875" style="54" customWidth="1"/>
    <col min="9477" max="9481" width="23.25" style="54" customWidth="1"/>
    <col min="9482" max="9728" width="8.875" style="54"/>
    <col min="9729" max="9729" width="8.75" style="54" customWidth="1"/>
    <col min="9730" max="9730" width="10" style="54" customWidth="1"/>
    <col min="9731" max="9731" width="20.125" style="54" customWidth="1"/>
    <col min="9732" max="9732" width="16.875" style="54" customWidth="1"/>
    <col min="9733" max="9737" width="23.25" style="54" customWidth="1"/>
    <col min="9738" max="9984" width="8.875" style="54"/>
    <col min="9985" max="9985" width="8.75" style="54" customWidth="1"/>
    <col min="9986" max="9986" width="10" style="54" customWidth="1"/>
    <col min="9987" max="9987" width="20.125" style="54" customWidth="1"/>
    <col min="9988" max="9988" width="16.875" style="54" customWidth="1"/>
    <col min="9989" max="9993" width="23.25" style="54" customWidth="1"/>
    <col min="9994" max="10240" width="8.875" style="54"/>
    <col min="10241" max="10241" width="8.75" style="54" customWidth="1"/>
    <col min="10242" max="10242" width="10" style="54" customWidth="1"/>
    <col min="10243" max="10243" width="20.125" style="54" customWidth="1"/>
    <col min="10244" max="10244" width="16.875" style="54" customWidth="1"/>
    <col min="10245" max="10249" width="23.25" style="54" customWidth="1"/>
    <col min="10250" max="10496" width="8.875" style="54"/>
    <col min="10497" max="10497" width="8.75" style="54" customWidth="1"/>
    <col min="10498" max="10498" width="10" style="54" customWidth="1"/>
    <col min="10499" max="10499" width="20.125" style="54" customWidth="1"/>
    <col min="10500" max="10500" width="16.875" style="54" customWidth="1"/>
    <col min="10501" max="10505" width="23.25" style="54" customWidth="1"/>
    <col min="10506" max="10752" width="8.875" style="54"/>
    <col min="10753" max="10753" width="8.75" style="54" customWidth="1"/>
    <col min="10754" max="10754" width="10" style="54" customWidth="1"/>
    <col min="10755" max="10755" width="20.125" style="54" customWidth="1"/>
    <col min="10756" max="10756" width="16.875" style="54" customWidth="1"/>
    <col min="10757" max="10761" width="23.25" style="54" customWidth="1"/>
    <col min="10762" max="11008" width="8.875" style="54"/>
    <col min="11009" max="11009" width="8.75" style="54" customWidth="1"/>
    <col min="11010" max="11010" width="10" style="54" customWidth="1"/>
    <col min="11011" max="11011" width="20.125" style="54" customWidth="1"/>
    <col min="11012" max="11012" width="16.875" style="54" customWidth="1"/>
    <col min="11013" max="11017" width="23.25" style="54" customWidth="1"/>
    <col min="11018" max="11264" width="8.875" style="54"/>
    <col min="11265" max="11265" width="8.75" style="54" customWidth="1"/>
    <col min="11266" max="11266" width="10" style="54" customWidth="1"/>
    <col min="11267" max="11267" width="20.125" style="54" customWidth="1"/>
    <col min="11268" max="11268" width="16.875" style="54" customWidth="1"/>
    <col min="11269" max="11273" width="23.25" style="54" customWidth="1"/>
    <col min="11274" max="11520" width="8.875" style="54"/>
    <col min="11521" max="11521" width="8.75" style="54" customWidth="1"/>
    <col min="11522" max="11522" width="10" style="54" customWidth="1"/>
    <col min="11523" max="11523" width="20.125" style="54" customWidth="1"/>
    <col min="11524" max="11524" width="16.875" style="54" customWidth="1"/>
    <col min="11525" max="11529" width="23.25" style="54" customWidth="1"/>
    <col min="11530" max="11776" width="8.875" style="54"/>
    <col min="11777" max="11777" width="8.75" style="54" customWidth="1"/>
    <col min="11778" max="11778" width="10" style="54" customWidth="1"/>
    <col min="11779" max="11779" width="20.125" style="54" customWidth="1"/>
    <col min="11780" max="11780" width="16.875" style="54" customWidth="1"/>
    <col min="11781" max="11785" width="23.25" style="54" customWidth="1"/>
    <col min="11786" max="12032" width="8.875" style="54"/>
    <col min="12033" max="12033" width="8.75" style="54" customWidth="1"/>
    <col min="12034" max="12034" width="10" style="54" customWidth="1"/>
    <col min="12035" max="12035" width="20.125" style="54" customWidth="1"/>
    <col min="12036" max="12036" width="16.875" style="54" customWidth="1"/>
    <col min="12037" max="12041" width="23.25" style="54" customWidth="1"/>
    <col min="12042" max="12288" width="8.875" style="54"/>
    <col min="12289" max="12289" width="8.75" style="54" customWidth="1"/>
    <col min="12290" max="12290" width="10" style="54" customWidth="1"/>
    <col min="12291" max="12291" width="20.125" style="54" customWidth="1"/>
    <col min="12292" max="12292" width="16.875" style="54" customWidth="1"/>
    <col min="12293" max="12297" width="23.25" style="54" customWidth="1"/>
    <col min="12298" max="12544" width="8.875" style="54"/>
    <col min="12545" max="12545" width="8.75" style="54" customWidth="1"/>
    <col min="12546" max="12546" width="10" style="54" customWidth="1"/>
    <col min="12547" max="12547" width="20.125" style="54" customWidth="1"/>
    <col min="12548" max="12548" width="16.875" style="54" customWidth="1"/>
    <col min="12549" max="12553" width="23.25" style="54" customWidth="1"/>
    <col min="12554" max="12800" width="8.875" style="54"/>
    <col min="12801" max="12801" width="8.75" style="54" customWidth="1"/>
    <col min="12802" max="12802" width="10" style="54" customWidth="1"/>
    <col min="12803" max="12803" width="20.125" style="54" customWidth="1"/>
    <col min="12804" max="12804" width="16.875" style="54" customWidth="1"/>
    <col min="12805" max="12809" width="23.25" style="54" customWidth="1"/>
    <col min="12810" max="13056" width="8.875" style="54"/>
    <col min="13057" max="13057" width="8.75" style="54" customWidth="1"/>
    <col min="13058" max="13058" width="10" style="54" customWidth="1"/>
    <col min="13059" max="13059" width="20.125" style="54" customWidth="1"/>
    <col min="13060" max="13060" width="16.875" style="54" customWidth="1"/>
    <col min="13061" max="13065" width="23.25" style="54" customWidth="1"/>
    <col min="13066" max="13312" width="8.875" style="54"/>
    <col min="13313" max="13313" width="8.75" style="54" customWidth="1"/>
    <col min="13314" max="13314" width="10" style="54" customWidth="1"/>
    <col min="13315" max="13315" width="20.125" style="54" customWidth="1"/>
    <col min="13316" max="13316" width="16.875" style="54" customWidth="1"/>
    <col min="13317" max="13321" width="23.25" style="54" customWidth="1"/>
    <col min="13322" max="13568" width="8.875" style="54"/>
    <col min="13569" max="13569" width="8.75" style="54" customWidth="1"/>
    <col min="13570" max="13570" width="10" style="54" customWidth="1"/>
    <col min="13571" max="13571" width="20.125" style="54" customWidth="1"/>
    <col min="13572" max="13572" width="16.875" style="54" customWidth="1"/>
    <col min="13573" max="13577" width="23.25" style="54" customWidth="1"/>
    <col min="13578" max="13824" width="8.875" style="54"/>
    <col min="13825" max="13825" width="8.75" style="54" customWidth="1"/>
    <col min="13826" max="13826" width="10" style="54" customWidth="1"/>
    <col min="13827" max="13827" width="20.125" style="54" customWidth="1"/>
    <col min="13828" max="13828" width="16.875" style="54" customWidth="1"/>
    <col min="13829" max="13833" width="23.25" style="54" customWidth="1"/>
    <col min="13834" max="14080" width="8.875" style="54"/>
    <col min="14081" max="14081" width="8.75" style="54" customWidth="1"/>
    <col min="14082" max="14082" width="10" style="54" customWidth="1"/>
    <col min="14083" max="14083" width="20.125" style="54" customWidth="1"/>
    <col min="14084" max="14084" width="16.875" style="54" customWidth="1"/>
    <col min="14085" max="14089" width="23.25" style="54" customWidth="1"/>
    <col min="14090" max="14336" width="8.875" style="54"/>
    <col min="14337" max="14337" width="8.75" style="54" customWidth="1"/>
    <col min="14338" max="14338" width="10" style="54" customWidth="1"/>
    <col min="14339" max="14339" width="20.125" style="54" customWidth="1"/>
    <col min="14340" max="14340" width="16.875" style="54" customWidth="1"/>
    <col min="14341" max="14345" width="23.25" style="54" customWidth="1"/>
    <col min="14346" max="14592" width="8.875" style="54"/>
    <col min="14593" max="14593" width="8.75" style="54" customWidth="1"/>
    <col min="14594" max="14594" width="10" style="54" customWidth="1"/>
    <col min="14595" max="14595" width="20.125" style="54" customWidth="1"/>
    <col min="14596" max="14596" width="16.875" style="54" customWidth="1"/>
    <col min="14597" max="14601" width="23.25" style="54" customWidth="1"/>
    <col min="14602" max="14848" width="8.875" style="54"/>
    <col min="14849" max="14849" width="8.75" style="54" customWidth="1"/>
    <col min="14850" max="14850" width="10" style="54" customWidth="1"/>
    <col min="14851" max="14851" width="20.125" style="54" customWidth="1"/>
    <col min="14852" max="14852" width="16.875" style="54" customWidth="1"/>
    <col min="14853" max="14857" width="23.25" style="54" customWidth="1"/>
    <col min="14858" max="15104" width="8.875" style="54"/>
    <col min="15105" max="15105" width="8.75" style="54" customWidth="1"/>
    <col min="15106" max="15106" width="10" style="54" customWidth="1"/>
    <col min="15107" max="15107" width="20.125" style="54" customWidth="1"/>
    <col min="15108" max="15108" width="16.875" style="54" customWidth="1"/>
    <col min="15109" max="15113" width="23.25" style="54" customWidth="1"/>
    <col min="15114" max="15360" width="8.875" style="54"/>
    <col min="15361" max="15361" width="8.75" style="54" customWidth="1"/>
    <col min="15362" max="15362" width="10" style="54" customWidth="1"/>
    <col min="15363" max="15363" width="20.125" style="54" customWidth="1"/>
    <col min="15364" max="15364" width="16.875" style="54" customWidth="1"/>
    <col min="15365" max="15369" width="23.25" style="54" customWidth="1"/>
    <col min="15370" max="15616" width="8.875" style="54"/>
    <col min="15617" max="15617" width="8.75" style="54" customWidth="1"/>
    <col min="15618" max="15618" width="10" style="54" customWidth="1"/>
    <col min="15619" max="15619" width="20.125" style="54" customWidth="1"/>
    <col min="15620" max="15620" width="16.875" style="54" customWidth="1"/>
    <col min="15621" max="15625" width="23.25" style="54" customWidth="1"/>
    <col min="15626" max="15872" width="8.875" style="54"/>
    <col min="15873" max="15873" width="8.75" style="54" customWidth="1"/>
    <col min="15874" max="15874" width="10" style="54" customWidth="1"/>
    <col min="15875" max="15875" width="20.125" style="54" customWidth="1"/>
    <col min="15876" max="15876" width="16.875" style="54" customWidth="1"/>
    <col min="15877" max="15881" width="23.25" style="54" customWidth="1"/>
    <col min="15882" max="16128" width="8.875" style="54"/>
    <col min="16129" max="16129" width="8.75" style="54" customWidth="1"/>
    <col min="16130" max="16130" width="10" style="54" customWidth="1"/>
    <col min="16131" max="16131" width="20.125" style="54" customWidth="1"/>
    <col min="16132" max="16132" width="16.875" style="54" customWidth="1"/>
    <col min="16133" max="16137" width="23.25" style="54" customWidth="1"/>
    <col min="16138" max="16384" width="8.875" style="54"/>
  </cols>
  <sheetData>
    <row r="1" spans="1:10" ht="50.25" customHeight="1" x14ac:dyDescent="0.3">
      <c r="A1" s="60" t="s">
        <v>62</v>
      </c>
      <c r="B1" s="60"/>
      <c r="C1" s="60"/>
      <c r="D1" s="61"/>
      <c r="E1" s="61"/>
      <c r="F1" s="61"/>
      <c r="G1" s="61"/>
      <c r="H1" s="61"/>
      <c r="I1" s="61"/>
      <c r="J1" s="61"/>
    </row>
    <row r="2" spans="1:10" s="55" customFormat="1" ht="14.25" x14ac:dyDescent="0.3">
      <c r="A2" s="63"/>
      <c r="B2" s="63"/>
      <c r="C2" s="63"/>
      <c r="D2" s="63"/>
      <c r="E2" s="63"/>
      <c r="F2" s="63"/>
      <c r="G2" s="63"/>
      <c r="H2" s="63"/>
      <c r="I2" s="64">
        <v>44377</v>
      </c>
      <c r="J2" s="63"/>
    </row>
    <row r="3" spans="1:10" s="56" customFormat="1" ht="52.9" customHeight="1" x14ac:dyDescent="0.3">
      <c r="A3" s="197" t="s">
        <v>60</v>
      </c>
      <c r="B3" s="197"/>
      <c r="C3" s="65" t="s">
        <v>61</v>
      </c>
      <c r="D3" s="65" t="s">
        <v>63</v>
      </c>
      <c r="E3" s="66" t="s">
        <v>70</v>
      </c>
      <c r="F3" s="65" t="s">
        <v>64</v>
      </c>
      <c r="G3" s="66" t="s">
        <v>68</v>
      </c>
      <c r="H3" s="65" t="s">
        <v>69</v>
      </c>
      <c r="I3" s="65" t="s">
        <v>67</v>
      </c>
      <c r="J3" s="67"/>
    </row>
    <row r="4" spans="1:10" s="56" customFormat="1" ht="36" customHeight="1" x14ac:dyDescent="0.3">
      <c r="A4" s="197"/>
      <c r="B4" s="197"/>
      <c r="C4" s="68"/>
      <c r="D4" s="69" t="s">
        <v>171</v>
      </c>
      <c r="E4" s="68"/>
      <c r="F4" s="68" t="s">
        <v>65</v>
      </c>
      <c r="G4" s="68"/>
      <c r="H4" s="70"/>
      <c r="I4" s="68"/>
      <c r="J4" s="67"/>
    </row>
    <row r="5" spans="1:10" s="57" customFormat="1" ht="36" customHeight="1" x14ac:dyDescent="0.3">
      <c r="A5" s="197" t="s">
        <v>66</v>
      </c>
      <c r="B5" s="197"/>
      <c r="C5" s="147">
        <v>300000</v>
      </c>
      <c r="D5" s="147">
        <f>C5/5/12</f>
        <v>5000</v>
      </c>
      <c r="E5" s="147">
        <v>2000</v>
      </c>
      <c r="F5" s="147">
        <f t="shared" ref="F5" si="0">D5*0.2</f>
        <v>1000</v>
      </c>
      <c r="G5" s="147">
        <f>C10</f>
        <v>1400</v>
      </c>
      <c r="H5" s="147">
        <v>2000</v>
      </c>
      <c r="I5" s="147">
        <f t="shared" ref="I5" si="1">SUM(D5:H5)</f>
        <v>11400</v>
      </c>
      <c r="J5" s="72"/>
    </row>
    <row r="6" spans="1:10" s="58" customFormat="1" ht="15" x14ac:dyDescent="0.3">
      <c r="A6" s="73"/>
      <c r="B6" s="73"/>
      <c r="C6" s="73"/>
      <c r="D6" s="73"/>
      <c r="E6" s="73"/>
      <c r="F6" s="73"/>
      <c r="G6" s="73"/>
      <c r="H6" s="73"/>
      <c r="I6" s="73"/>
      <c r="J6" s="74"/>
    </row>
    <row r="7" spans="1:10" s="59" customFormat="1" ht="20.100000000000001" customHeight="1" x14ac:dyDescent="0.3">
      <c r="A7" s="95" t="s">
        <v>107</v>
      </c>
      <c r="B7" s="76"/>
      <c r="C7" s="76"/>
      <c r="D7" s="76"/>
    </row>
    <row r="8" spans="1:10" s="59" customFormat="1" ht="20.100000000000001" customHeight="1" x14ac:dyDescent="0.3">
      <c r="A8" s="78" t="s">
        <v>108</v>
      </c>
      <c r="B8" s="78"/>
      <c r="C8" s="78">
        <v>200</v>
      </c>
      <c r="D8" s="78" t="s">
        <v>106</v>
      </c>
    </row>
    <row r="9" spans="1:10" s="59" customFormat="1" ht="20.100000000000001" customHeight="1" x14ac:dyDescent="0.3">
      <c r="A9" s="206" t="s">
        <v>109</v>
      </c>
      <c r="B9" s="206"/>
      <c r="C9" s="147">
        <v>7</v>
      </c>
      <c r="D9" s="78"/>
    </row>
    <row r="10" spans="1:10" s="59" customFormat="1" ht="20.100000000000001" customHeight="1" x14ac:dyDescent="0.3">
      <c r="A10" s="207" t="s">
        <v>110</v>
      </c>
      <c r="B10" s="208"/>
      <c r="C10" s="148">
        <f>C9*C8</f>
        <v>1400</v>
      </c>
      <c r="D10" s="94"/>
    </row>
    <row r="11" spans="1:10" s="59" customFormat="1" ht="20.100000000000001" customHeight="1" x14ac:dyDescent="0.3"/>
    <row r="12" spans="1:10" s="59" customFormat="1" ht="46.15" customHeight="1" x14ac:dyDescent="0.3">
      <c r="A12" s="60" t="s">
        <v>71</v>
      </c>
      <c r="B12" s="60"/>
      <c r="C12" s="60"/>
      <c r="D12" s="61"/>
      <c r="E12" s="61"/>
      <c r="F12" s="61"/>
      <c r="G12" s="61"/>
      <c r="H12" s="61"/>
      <c r="I12" s="61"/>
    </row>
    <row r="13" spans="1:10" s="59" customFormat="1" ht="31.9" customHeight="1" x14ac:dyDescent="0.3">
      <c r="A13" s="74" t="s">
        <v>78</v>
      </c>
      <c r="B13" s="62"/>
      <c r="C13" s="62"/>
      <c r="D13" s="63"/>
      <c r="E13" s="63"/>
      <c r="F13" s="63"/>
      <c r="G13" s="63"/>
      <c r="H13" s="63"/>
      <c r="I13" s="63"/>
    </row>
    <row r="14" spans="1:10" s="59" customFormat="1" ht="46.15" customHeight="1" x14ac:dyDescent="0.3">
      <c r="A14" s="203" t="s">
        <v>60</v>
      </c>
      <c r="B14" s="203"/>
      <c r="C14" s="79" t="s">
        <v>75</v>
      </c>
      <c r="D14" s="79" t="s">
        <v>76</v>
      </c>
      <c r="E14" s="80" t="s">
        <v>72</v>
      </c>
    </row>
    <row r="15" spans="1:10" s="59" customFormat="1" ht="54.6" customHeight="1" x14ac:dyDescent="0.3">
      <c r="A15" s="204" t="s">
        <v>167</v>
      </c>
      <c r="B15" s="75" t="s">
        <v>74</v>
      </c>
      <c r="C15" s="71">
        <v>20</v>
      </c>
      <c r="D15" s="71">
        <v>20</v>
      </c>
      <c r="E15" s="78">
        <f t="shared" ref="E15:E20" si="2">C15*D15</f>
        <v>400</v>
      </c>
    </row>
    <row r="16" spans="1:10" s="59" customFormat="1" ht="49.15" customHeight="1" x14ac:dyDescent="0.3">
      <c r="A16" s="205"/>
      <c r="B16" s="75" t="s">
        <v>77</v>
      </c>
      <c r="C16" s="78">
        <v>8</v>
      </c>
      <c r="D16" s="78">
        <v>4</v>
      </c>
      <c r="E16" s="78">
        <f t="shared" si="2"/>
        <v>32</v>
      </c>
    </row>
    <row r="17" spans="1:6" s="59" customFormat="1" ht="54.6" customHeight="1" x14ac:dyDescent="0.3">
      <c r="A17" s="204" t="s">
        <v>169</v>
      </c>
      <c r="B17" s="75" t="s">
        <v>74</v>
      </c>
      <c r="C17" s="71">
        <v>20</v>
      </c>
      <c r="D17" s="71">
        <v>20</v>
      </c>
      <c r="E17" s="78">
        <f t="shared" si="2"/>
        <v>400</v>
      </c>
    </row>
    <row r="18" spans="1:6" s="59" customFormat="1" ht="49.15" customHeight="1" x14ac:dyDescent="0.3">
      <c r="A18" s="205"/>
      <c r="B18" s="75" t="s">
        <v>77</v>
      </c>
      <c r="C18" s="78">
        <v>8</v>
      </c>
      <c r="D18" s="78">
        <v>4</v>
      </c>
      <c r="E18" s="78">
        <f t="shared" si="2"/>
        <v>32</v>
      </c>
    </row>
    <row r="19" spans="1:6" s="59" customFormat="1" ht="54.6" customHeight="1" x14ac:dyDescent="0.3">
      <c r="A19" s="204" t="s">
        <v>169</v>
      </c>
      <c r="B19" s="75" t="s">
        <v>74</v>
      </c>
      <c r="C19" s="71">
        <v>20</v>
      </c>
      <c r="D19" s="71">
        <v>20</v>
      </c>
      <c r="E19" s="78">
        <f t="shared" si="2"/>
        <v>400</v>
      </c>
    </row>
    <row r="20" spans="1:6" s="59" customFormat="1" ht="49.15" customHeight="1" x14ac:dyDescent="0.3">
      <c r="A20" s="205"/>
      <c r="B20" s="75" t="s">
        <v>77</v>
      </c>
      <c r="C20" s="78">
        <v>8</v>
      </c>
      <c r="D20" s="78">
        <v>4</v>
      </c>
      <c r="E20" s="78">
        <f t="shared" si="2"/>
        <v>32</v>
      </c>
    </row>
    <row r="21" spans="1:6" s="59" customFormat="1" ht="20.100000000000001" customHeight="1" x14ac:dyDescent="0.3">
      <c r="A21" s="198" t="s">
        <v>73</v>
      </c>
      <c r="B21" s="199"/>
      <c r="C21" s="81">
        <f>SUM(C15:C20)</f>
        <v>84</v>
      </c>
      <c r="D21" s="81">
        <f>SUM(D15:D20)</f>
        <v>72</v>
      </c>
      <c r="E21" s="81">
        <f>SUM(E15:E20)</f>
        <v>1296</v>
      </c>
    </row>
    <row r="22" spans="1:6" s="59" customFormat="1" ht="20.100000000000001" customHeight="1" x14ac:dyDescent="0.3"/>
    <row r="23" spans="1:6" s="59" customFormat="1" ht="20.100000000000001" customHeight="1" x14ac:dyDescent="0.3">
      <c r="A23" s="74" t="s">
        <v>79</v>
      </c>
    </row>
    <row r="24" spans="1:6" s="59" customFormat="1" ht="20.100000000000001" customHeight="1" x14ac:dyDescent="0.3">
      <c r="A24" s="183"/>
      <c r="B24" s="183"/>
      <c r="C24" s="81" t="s">
        <v>80</v>
      </c>
      <c r="D24" s="81" t="s">
        <v>81</v>
      </c>
      <c r="E24" s="81"/>
    </row>
    <row r="25" spans="1:6" s="59" customFormat="1" ht="49.9" customHeight="1" x14ac:dyDescent="0.3">
      <c r="A25" s="194" t="s">
        <v>82</v>
      </c>
      <c r="B25" s="195"/>
      <c r="C25" s="147">
        <v>500</v>
      </c>
      <c r="D25" s="147">
        <f>C25/$E$21</f>
        <v>0.38580246913580246</v>
      </c>
      <c r="E25" s="78"/>
    </row>
    <row r="26" spans="1:6" s="59" customFormat="1" ht="31.15" customHeight="1" x14ac:dyDescent="0.3">
      <c r="A26" s="196" t="s">
        <v>83</v>
      </c>
      <c r="B26" s="196"/>
      <c r="C26" s="147">
        <f>150*0.1</f>
        <v>15</v>
      </c>
      <c r="D26" s="147">
        <f t="shared" ref="D26:D27" si="3">C26/$E$21</f>
        <v>1.1574074074074073E-2</v>
      </c>
      <c r="E26" s="78" t="s">
        <v>173</v>
      </c>
    </row>
    <row r="27" spans="1:6" s="59" customFormat="1" ht="31.15" customHeight="1" x14ac:dyDescent="0.3">
      <c r="A27" s="195" t="s">
        <v>84</v>
      </c>
      <c r="B27" s="195"/>
      <c r="C27" s="147">
        <v>1000</v>
      </c>
      <c r="D27" s="147">
        <f t="shared" si="3"/>
        <v>0.77160493827160492</v>
      </c>
      <c r="E27" s="78"/>
    </row>
    <row r="28" spans="1:6" s="59" customFormat="1" ht="31.15" customHeight="1" x14ac:dyDescent="0.3">
      <c r="A28" s="198" t="s">
        <v>67</v>
      </c>
      <c r="B28" s="199"/>
      <c r="C28" s="149">
        <f>SUM(C25:C27)</f>
        <v>1515</v>
      </c>
      <c r="D28" s="149">
        <f>SUM(D25:D27)</f>
        <v>1.1689814814814814</v>
      </c>
      <c r="E28" s="81"/>
    </row>
    <row r="29" spans="1:6" s="59" customFormat="1" ht="20.100000000000001" customHeight="1" x14ac:dyDescent="0.3">
      <c r="A29" s="74"/>
      <c r="B29" s="76"/>
      <c r="C29" s="76"/>
      <c r="D29" s="76"/>
      <c r="E29" s="76"/>
    </row>
    <row r="30" spans="1:6" s="59" customFormat="1" ht="20.100000000000001" customHeight="1" x14ac:dyDescent="0.3">
      <c r="A30" s="74" t="s">
        <v>89</v>
      </c>
    </row>
    <row r="31" spans="1:6" s="59" customFormat="1" ht="50.45" customHeight="1" x14ac:dyDescent="0.3">
      <c r="A31" s="197" t="s">
        <v>60</v>
      </c>
      <c r="B31" s="197"/>
      <c r="C31" s="82" t="s">
        <v>85</v>
      </c>
      <c r="D31" s="83" t="s">
        <v>86</v>
      </c>
      <c r="E31" s="84" t="s">
        <v>87</v>
      </c>
      <c r="F31" s="82" t="s">
        <v>88</v>
      </c>
    </row>
    <row r="32" spans="1:6" s="59" customFormat="1" ht="20.100000000000001" customHeight="1" x14ac:dyDescent="0.3">
      <c r="A32" s="197" t="s">
        <v>172</v>
      </c>
      <c r="B32" s="197"/>
      <c r="C32" s="147">
        <f>D25</f>
        <v>0.38580246913580246</v>
      </c>
      <c r="D32" s="147">
        <f>D26</f>
        <v>1.1574074074074073E-2</v>
      </c>
      <c r="E32" s="147">
        <f>D27</f>
        <v>0.77160493827160492</v>
      </c>
      <c r="F32" s="147">
        <f>SUM(C32:E32)</f>
        <v>1.1689814814814814</v>
      </c>
    </row>
    <row r="33" spans="1:6" s="59" customFormat="1" ht="20.100000000000001" customHeight="1" x14ac:dyDescent="0.3"/>
    <row r="34" spans="1:6" s="59" customFormat="1" ht="20.100000000000001" customHeight="1" x14ac:dyDescent="0.3"/>
    <row r="35" spans="1:6" s="59" customFormat="1" ht="49.15" customHeight="1" x14ac:dyDescent="0.3">
      <c r="A35" s="200" t="s">
        <v>90</v>
      </c>
      <c r="B35" s="200"/>
      <c r="C35" s="200"/>
      <c r="D35" s="200"/>
      <c r="E35" s="200"/>
      <c r="F35" s="200"/>
    </row>
    <row r="36" spans="1:6" s="59" customFormat="1" ht="20.100000000000001" customHeight="1" thickBot="1" x14ac:dyDescent="0.35">
      <c r="A36" s="76"/>
      <c r="B36" s="76"/>
      <c r="C36" s="76"/>
      <c r="D36" s="76"/>
      <c r="E36" s="76"/>
    </row>
    <row r="37" spans="1:6" s="59" customFormat="1" ht="20.100000000000001" customHeight="1" x14ac:dyDescent="0.3">
      <c r="A37" s="201" t="s">
        <v>95</v>
      </c>
      <c r="B37" s="202"/>
      <c r="C37" s="87">
        <v>20.6</v>
      </c>
      <c r="D37" s="88" t="s">
        <v>98</v>
      </c>
      <c r="E37" s="188" t="s">
        <v>103</v>
      </c>
      <c r="F37" s="191">
        <f>C37*C38*C39/C40</f>
        <v>401.01333333333338</v>
      </c>
    </row>
    <row r="38" spans="1:6" s="59" customFormat="1" ht="20.100000000000001" customHeight="1" x14ac:dyDescent="0.3">
      <c r="A38" s="184" t="s">
        <v>96</v>
      </c>
      <c r="B38" s="185"/>
      <c r="C38" s="77">
        <v>292</v>
      </c>
      <c r="D38" s="85" t="s">
        <v>97</v>
      </c>
      <c r="E38" s="189"/>
      <c r="F38" s="192"/>
    </row>
    <row r="39" spans="1:6" s="59" customFormat="1" ht="20.100000000000001" customHeight="1" x14ac:dyDescent="0.3">
      <c r="A39" s="184" t="s">
        <v>99</v>
      </c>
      <c r="B39" s="185"/>
      <c r="C39" s="86">
        <v>0.8</v>
      </c>
      <c r="D39" s="85" t="s">
        <v>100</v>
      </c>
      <c r="E39" s="189"/>
      <c r="F39" s="192"/>
    </row>
    <row r="40" spans="1:6" s="59" customFormat="1" ht="20.100000000000001" customHeight="1" thickBot="1" x14ac:dyDescent="0.35">
      <c r="A40" s="186" t="s">
        <v>101</v>
      </c>
      <c r="B40" s="187"/>
      <c r="C40" s="89">
        <v>12</v>
      </c>
      <c r="D40" s="90" t="s">
        <v>102</v>
      </c>
      <c r="E40" s="190"/>
      <c r="F40" s="193"/>
    </row>
    <row r="41" spans="1:6" s="59" customFormat="1" ht="20.100000000000001" customHeight="1" x14ac:dyDescent="0.3"/>
    <row r="42" spans="1:6" s="59" customFormat="1" ht="20.100000000000001" customHeight="1" x14ac:dyDescent="0.3">
      <c r="A42" s="91" t="s">
        <v>91</v>
      </c>
      <c r="B42" s="91" t="s">
        <v>93</v>
      </c>
      <c r="C42" s="91" t="s">
        <v>94</v>
      </c>
      <c r="D42" s="91" t="s">
        <v>105</v>
      </c>
      <c r="E42" s="92" t="s">
        <v>92</v>
      </c>
      <c r="F42" s="93" t="s">
        <v>104</v>
      </c>
    </row>
    <row r="43" spans="1:6" s="59" customFormat="1" ht="20.100000000000001" customHeight="1" x14ac:dyDescent="0.3">
      <c r="A43" s="91" t="s">
        <v>66</v>
      </c>
      <c r="B43" s="150">
        <f>I5</f>
        <v>11400</v>
      </c>
      <c r="C43" s="150">
        <f>F32</f>
        <v>1.1689814814814814</v>
      </c>
      <c r="D43" s="150">
        <f>50*0.1</f>
        <v>5</v>
      </c>
      <c r="E43" s="151">
        <f>B43/F37</f>
        <v>28.427982444473997</v>
      </c>
      <c r="F43" s="152">
        <f>C43+D43+E43</f>
        <v>34.596963925955478</v>
      </c>
    </row>
    <row r="44" spans="1:6" s="59" customFormat="1" ht="20.100000000000001" customHeight="1" x14ac:dyDescent="0.3"/>
    <row r="45" spans="1:6" s="59" customFormat="1" ht="20.100000000000001" customHeight="1" x14ac:dyDescent="0.3"/>
    <row r="46" spans="1:6" s="59" customFormat="1" ht="20.100000000000001" customHeight="1" x14ac:dyDescent="0.3"/>
    <row r="47" spans="1:6" s="59" customFormat="1" ht="20.100000000000001" customHeight="1" x14ac:dyDescent="0.3"/>
    <row r="48" spans="1:6" s="59" customFormat="1" ht="20.100000000000001" customHeight="1" x14ac:dyDescent="0.3"/>
    <row r="49" s="59" customFormat="1" ht="20.100000000000001" customHeight="1" x14ac:dyDescent="0.3"/>
    <row r="50" s="59" customFormat="1" ht="20.100000000000001" customHeight="1" x14ac:dyDescent="0.3"/>
    <row r="51" s="59" customFormat="1" ht="20.100000000000001" customHeight="1" x14ac:dyDescent="0.3"/>
    <row r="52" s="59" customFormat="1" ht="20.100000000000001" customHeight="1" x14ac:dyDescent="0.3"/>
    <row r="53" s="59" customFormat="1" ht="20.100000000000001" customHeight="1" x14ac:dyDescent="0.3"/>
    <row r="54" s="59" customFormat="1" ht="20.100000000000001" customHeight="1" x14ac:dyDescent="0.3"/>
    <row r="55" s="59" customFormat="1" ht="20.100000000000001" customHeight="1" x14ac:dyDescent="0.3"/>
    <row r="56" s="59" customFormat="1" ht="20.100000000000001" customHeight="1" x14ac:dyDescent="0.3"/>
    <row r="57" s="59" customFormat="1" ht="20.100000000000001" customHeight="1" x14ac:dyDescent="0.3"/>
    <row r="58" s="59" customFormat="1" ht="20.100000000000001" customHeight="1" x14ac:dyDescent="0.3"/>
    <row r="59" s="59" customFormat="1" ht="20.100000000000001" customHeight="1" x14ac:dyDescent="0.3"/>
    <row r="60" s="59" customFormat="1" ht="20.100000000000001" customHeight="1" x14ac:dyDescent="0.3"/>
    <row r="61" s="59" customFormat="1" ht="20.100000000000001" customHeight="1" x14ac:dyDescent="0.3"/>
    <row r="62" s="59" customFormat="1" ht="20.100000000000001" customHeight="1" x14ac:dyDescent="0.3"/>
    <row r="63" s="59" customFormat="1" ht="20.100000000000001" customHeight="1" x14ac:dyDescent="0.3"/>
    <row r="64" s="59" customFormat="1" ht="20.100000000000001" customHeight="1" x14ac:dyDescent="0.3"/>
    <row r="65" s="59" customFormat="1" ht="20.100000000000001" customHeight="1" x14ac:dyDescent="0.3"/>
    <row r="66" s="59" customFormat="1" ht="20.100000000000001" customHeight="1" x14ac:dyDescent="0.3"/>
    <row r="67" s="59" customFormat="1" ht="20.100000000000001" customHeight="1" x14ac:dyDescent="0.3"/>
    <row r="68" s="59" customFormat="1" ht="20.100000000000001" customHeight="1" x14ac:dyDescent="0.3"/>
    <row r="69" s="59" customFormat="1" ht="20.100000000000001" customHeight="1" x14ac:dyDescent="0.3"/>
    <row r="70" s="59" customFormat="1" ht="20.100000000000001" customHeight="1" x14ac:dyDescent="0.3"/>
    <row r="71" s="59" customFormat="1" ht="20.100000000000001" customHeight="1" x14ac:dyDescent="0.3"/>
    <row r="72" s="59" customFormat="1" ht="20.100000000000001" customHeight="1" x14ac:dyDescent="0.3"/>
    <row r="73" s="59" customFormat="1" ht="20.100000000000001" customHeight="1" x14ac:dyDescent="0.3"/>
    <row r="74" s="59" customFormat="1" ht="20.100000000000001" customHeight="1" x14ac:dyDescent="0.3"/>
    <row r="75" s="59" customFormat="1" ht="20.100000000000001" customHeight="1" x14ac:dyDescent="0.3"/>
    <row r="76" s="59" customFormat="1" ht="20.100000000000001" customHeight="1" x14ac:dyDescent="0.3"/>
    <row r="77" s="59" customFormat="1" ht="20.100000000000001" customHeight="1" x14ac:dyDescent="0.3"/>
    <row r="78" s="59" customFormat="1" ht="20.100000000000001" customHeight="1" x14ac:dyDescent="0.3"/>
    <row r="79" s="59" customFormat="1" ht="20.100000000000001" customHeight="1" x14ac:dyDescent="0.3"/>
    <row r="80" s="59" customFormat="1" ht="20.100000000000001" customHeight="1" x14ac:dyDescent="0.3"/>
    <row r="81" s="59" customFormat="1" ht="20.100000000000001" customHeight="1" x14ac:dyDescent="0.3"/>
    <row r="82" s="59" customFormat="1" ht="20.100000000000001" customHeight="1" x14ac:dyDescent="0.3"/>
    <row r="83" s="59" customFormat="1" ht="20.100000000000001" customHeight="1" x14ac:dyDescent="0.3"/>
    <row r="84" s="59" customFormat="1" ht="20.100000000000001" customHeight="1" x14ac:dyDescent="0.3"/>
    <row r="85" s="59" customFormat="1" ht="20.100000000000001" customHeight="1" x14ac:dyDescent="0.3"/>
    <row r="86" s="59" customFormat="1" ht="20.100000000000001" customHeight="1" x14ac:dyDescent="0.3"/>
    <row r="87" s="59" customFormat="1" ht="20.100000000000001" customHeight="1" x14ac:dyDescent="0.3"/>
    <row r="88" s="59" customFormat="1" ht="20.100000000000001" customHeight="1" x14ac:dyDescent="0.3"/>
    <row r="89" s="59" customFormat="1" ht="20.100000000000001" customHeight="1" x14ac:dyDescent="0.3"/>
    <row r="90" s="59" customFormat="1" ht="20.100000000000001" customHeight="1" x14ac:dyDescent="0.3"/>
    <row r="91" s="59" customFormat="1" ht="20.100000000000001" customHeight="1" x14ac:dyDescent="0.3"/>
    <row r="92" s="59" customFormat="1" ht="20.100000000000001" customHeight="1" x14ac:dyDescent="0.3"/>
    <row r="93" s="59" customFormat="1" ht="20.100000000000001" customHeight="1" x14ac:dyDescent="0.3"/>
    <row r="94" s="59" customFormat="1" ht="20.100000000000001" customHeight="1" x14ac:dyDescent="0.3"/>
    <row r="95" s="59" customFormat="1" ht="20.100000000000001" customHeight="1" x14ac:dyDescent="0.3"/>
    <row r="96" s="59" customFormat="1" ht="20.100000000000001" customHeight="1" x14ac:dyDescent="0.3"/>
    <row r="97" s="59" customFormat="1" ht="20.100000000000001" customHeight="1" x14ac:dyDescent="0.3"/>
    <row r="98" s="59" customFormat="1" ht="20.100000000000001" customHeight="1" x14ac:dyDescent="0.3"/>
    <row r="99" s="59" customFormat="1" ht="20.100000000000001" customHeight="1" x14ac:dyDescent="0.3"/>
    <row r="100" s="59" customFormat="1" ht="20.100000000000001" customHeight="1" x14ac:dyDescent="0.3"/>
    <row r="101" s="59" customFormat="1" ht="20.100000000000001" customHeight="1" x14ac:dyDescent="0.3"/>
    <row r="102" s="59" customFormat="1" ht="20.100000000000001" customHeight="1" x14ac:dyDescent="0.3"/>
    <row r="103" s="59" customFormat="1" ht="20.100000000000001" customHeight="1" x14ac:dyDescent="0.3"/>
    <row r="104" s="59" customFormat="1" ht="20.100000000000001" customHeight="1" x14ac:dyDescent="0.3"/>
    <row r="105" s="59" customFormat="1" ht="20.100000000000001" customHeight="1" x14ac:dyDescent="0.3"/>
    <row r="106" s="59" customFormat="1" ht="20.100000000000001" customHeight="1" x14ac:dyDescent="0.3"/>
    <row r="107" s="59" customFormat="1" ht="20.100000000000001" customHeight="1" x14ac:dyDescent="0.3"/>
    <row r="108" s="59" customFormat="1" ht="20.100000000000001" customHeight="1" x14ac:dyDescent="0.3"/>
    <row r="109" s="59" customFormat="1" ht="20.100000000000001" customHeight="1" x14ac:dyDescent="0.3"/>
    <row r="110" s="59" customFormat="1" ht="20.100000000000001" customHeight="1" x14ac:dyDescent="0.3"/>
    <row r="111" s="59" customFormat="1" ht="20.100000000000001" customHeight="1" x14ac:dyDescent="0.3"/>
    <row r="112" s="59" customFormat="1" ht="20.100000000000001" customHeight="1" x14ac:dyDescent="0.3"/>
    <row r="113" s="59" customFormat="1" ht="20.100000000000001" customHeight="1" x14ac:dyDescent="0.3"/>
    <row r="114" s="59" customFormat="1" ht="20.100000000000001" customHeight="1" x14ac:dyDescent="0.3"/>
    <row r="115" s="59" customFormat="1" ht="20.100000000000001" customHeight="1" x14ac:dyDescent="0.3"/>
    <row r="116" s="59" customFormat="1" ht="20.100000000000001" customHeight="1" x14ac:dyDescent="0.3"/>
    <row r="117" s="59" customFormat="1" ht="20.100000000000001" customHeight="1" x14ac:dyDescent="0.3"/>
    <row r="118" s="59" customFormat="1" ht="20.100000000000001" customHeight="1" x14ac:dyDescent="0.3"/>
    <row r="119" s="59" customFormat="1" ht="20.100000000000001" customHeight="1" x14ac:dyDescent="0.3"/>
    <row r="120" s="59" customFormat="1" ht="20.100000000000001" customHeight="1" x14ac:dyDescent="0.3"/>
    <row r="121" s="59" customFormat="1" ht="20.100000000000001" customHeight="1" x14ac:dyDescent="0.3"/>
    <row r="122" s="59" customFormat="1" ht="20.100000000000001" customHeight="1" x14ac:dyDescent="0.3"/>
    <row r="123" s="59" customFormat="1" ht="20.100000000000001" customHeight="1" x14ac:dyDescent="0.3"/>
    <row r="124" s="59" customFormat="1" ht="20.100000000000001" customHeight="1" x14ac:dyDescent="0.3"/>
    <row r="125" s="59" customFormat="1" ht="20.100000000000001" customHeight="1" x14ac:dyDescent="0.3"/>
    <row r="126" s="59" customFormat="1" ht="20.100000000000001" customHeight="1" x14ac:dyDescent="0.3"/>
    <row r="127" s="59" customFormat="1" ht="20.100000000000001" customHeight="1" x14ac:dyDescent="0.3"/>
    <row r="128" s="59" customFormat="1" ht="20.100000000000001" customHeight="1" x14ac:dyDescent="0.3"/>
    <row r="129" s="59" customFormat="1" ht="20.100000000000001" customHeight="1" x14ac:dyDescent="0.3"/>
    <row r="130" s="59" customFormat="1" ht="20.100000000000001" customHeight="1" x14ac:dyDescent="0.3"/>
    <row r="131" s="59" customFormat="1" ht="20.100000000000001" customHeight="1" x14ac:dyDescent="0.3"/>
    <row r="132" s="59" customFormat="1" ht="20.100000000000001" customHeight="1" x14ac:dyDescent="0.3"/>
    <row r="133" s="59" customFormat="1" ht="20.100000000000001" customHeight="1" x14ac:dyDescent="0.3"/>
    <row r="134" s="59" customFormat="1" ht="20.100000000000001" customHeight="1" x14ac:dyDescent="0.3"/>
    <row r="135" s="59" customFormat="1" ht="20.100000000000001" customHeight="1" x14ac:dyDescent="0.3"/>
    <row r="136" s="59" customFormat="1" ht="20.100000000000001" customHeight="1" x14ac:dyDescent="0.3"/>
    <row r="137" s="59" customFormat="1" ht="20.100000000000001" customHeight="1" x14ac:dyDescent="0.3"/>
    <row r="138" s="59" customFormat="1" ht="20.100000000000001" customHeight="1" x14ac:dyDescent="0.3"/>
    <row r="139" s="59" customFormat="1" ht="20.100000000000001" customHeight="1" x14ac:dyDescent="0.3"/>
    <row r="140" s="59" customFormat="1" ht="20.100000000000001" customHeight="1" x14ac:dyDescent="0.3"/>
    <row r="141" s="59" customFormat="1" ht="20.100000000000001" customHeight="1" x14ac:dyDescent="0.3"/>
    <row r="142" s="59" customFormat="1" ht="20.100000000000001" customHeight="1" x14ac:dyDescent="0.3"/>
    <row r="143" s="59" customFormat="1" ht="20.100000000000001" customHeight="1" x14ac:dyDescent="0.3"/>
    <row r="144" s="59" customFormat="1" ht="20.100000000000001" customHeight="1" x14ac:dyDescent="0.3"/>
    <row r="145" s="59" customFormat="1" ht="20.100000000000001" customHeight="1" x14ac:dyDescent="0.3"/>
    <row r="146" s="59" customFormat="1" ht="20.100000000000001" customHeight="1" x14ac:dyDescent="0.3"/>
    <row r="147" s="59" customFormat="1" ht="20.100000000000001" customHeight="1" x14ac:dyDescent="0.3"/>
    <row r="148" s="59" customFormat="1" ht="20.100000000000001" customHeight="1" x14ac:dyDescent="0.3"/>
    <row r="149" s="59" customFormat="1" ht="20.100000000000001" customHeight="1" x14ac:dyDescent="0.3"/>
    <row r="150" s="59" customFormat="1" ht="20.100000000000001" customHeight="1" x14ac:dyDescent="0.3"/>
    <row r="151" s="59" customFormat="1" ht="20.100000000000001" customHeight="1" x14ac:dyDescent="0.3"/>
    <row r="152" s="59" customFormat="1" ht="20.100000000000001" customHeight="1" x14ac:dyDescent="0.3"/>
    <row r="153" s="59" customFormat="1" ht="20.100000000000001" customHeight="1" x14ac:dyDescent="0.3"/>
    <row r="154" s="59" customFormat="1" ht="20.100000000000001" customHeight="1" x14ac:dyDescent="0.3"/>
    <row r="155" s="59" customFormat="1" ht="20.100000000000001" customHeight="1" x14ac:dyDescent="0.3"/>
    <row r="156" s="59" customFormat="1" ht="20.100000000000001" customHeight="1" x14ac:dyDescent="0.3"/>
    <row r="157" s="59" customFormat="1" ht="20.100000000000001" customHeight="1" x14ac:dyDescent="0.3"/>
    <row r="158" s="59" customFormat="1" ht="20.100000000000001" customHeight="1" x14ac:dyDescent="0.3"/>
    <row r="159" s="59" customFormat="1" ht="20.100000000000001" customHeight="1" x14ac:dyDescent="0.3"/>
    <row r="160" s="59" customFormat="1" ht="20.100000000000001" customHeight="1" x14ac:dyDescent="0.3"/>
    <row r="161" s="59" customFormat="1" ht="20.100000000000001" customHeight="1" x14ac:dyDescent="0.3"/>
    <row r="162" s="59" customFormat="1" ht="20.100000000000001" customHeight="1" x14ac:dyDescent="0.3"/>
    <row r="163" s="59" customFormat="1" ht="20.100000000000001" customHeight="1" x14ac:dyDescent="0.3"/>
    <row r="164" s="59" customFormat="1" ht="20.100000000000001" customHeight="1" x14ac:dyDescent="0.3"/>
    <row r="165" s="59" customFormat="1" ht="20.100000000000001" customHeight="1" x14ac:dyDescent="0.3"/>
    <row r="166" s="59" customFormat="1" ht="20.100000000000001" customHeight="1" x14ac:dyDescent="0.3"/>
    <row r="167" s="59" customFormat="1" ht="20.100000000000001" customHeight="1" x14ac:dyDescent="0.3"/>
    <row r="168" s="59" customFormat="1" ht="20.100000000000001" customHeight="1" x14ac:dyDescent="0.3"/>
    <row r="169" s="59" customFormat="1" ht="20.100000000000001" customHeight="1" x14ac:dyDescent="0.3"/>
    <row r="170" s="59" customFormat="1" ht="20.100000000000001" customHeight="1" x14ac:dyDescent="0.3"/>
    <row r="171" s="59" customFormat="1" ht="20.100000000000001" customHeight="1" x14ac:dyDescent="0.3"/>
    <row r="172" s="59" customFormat="1" ht="20.100000000000001" customHeight="1" x14ac:dyDescent="0.3"/>
    <row r="173" s="59" customFormat="1" ht="20.100000000000001" customHeight="1" x14ac:dyDescent="0.3"/>
    <row r="174" s="59" customFormat="1" ht="20.100000000000001" customHeight="1" x14ac:dyDescent="0.3"/>
    <row r="175" s="59" customFormat="1" ht="20.100000000000001" customHeight="1" x14ac:dyDescent="0.3"/>
    <row r="176" s="59" customFormat="1" ht="20.100000000000001" customHeight="1" x14ac:dyDescent="0.3"/>
    <row r="177" s="59" customFormat="1" ht="20.100000000000001" customHeight="1" x14ac:dyDescent="0.3"/>
    <row r="178" s="59" customFormat="1" ht="20.100000000000001" customHeight="1" x14ac:dyDescent="0.3"/>
    <row r="179" s="59" customFormat="1" ht="20.100000000000001" customHeight="1" x14ac:dyDescent="0.3"/>
    <row r="180" s="59" customFormat="1" ht="20.100000000000001" customHeight="1" x14ac:dyDescent="0.3"/>
    <row r="181" s="59" customFormat="1" ht="20.100000000000001" customHeight="1" x14ac:dyDescent="0.3"/>
    <row r="182" s="59" customFormat="1" ht="20.100000000000001" customHeight="1" x14ac:dyDescent="0.3"/>
    <row r="183" s="59" customFormat="1" ht="20.100000000000001" customHeight="1" x14ac:dyDescent="0.3"/>
    <row r="184" s="59" customFormat="1" ht="20.100000000000001" customHeight="1" x14ac:dyDescent="0.3"/>
    <row r="185" s="59" customFormat="1" ht="20.100000000000001" customHeight="1" x14ac:dyDescent="0.3"/>
    <row r="186" s="59" customFormat="1" ht="20.100000000000001" customHeight="1" x14ac:dyDescent="0.3"/>
    <row r="187" s="59" customFormat="1" ht="20.100000000000001" customHeight="1" x14ac:dyDescent="0.3"/>
    <row r="188" s="59" customFormat="1" ht="20.100000000000001" customHeight="1" x14ac:dyDescent="0.3"/>
    <row r="189" s="59" customFormat="1" ht="20.100000000000001" customHeight="1" x14ac:dyDescent="0.3"/>
    <row r="190" s="59" customFormat="1" ht="20.100000000000001" customHeight="1" x14ac:dyDescent="0.3"/>
    <row r="191" s="59" customFormat="1" ht="20.100000000000001" customHeight="1" x14ac:dyDescent="0.3"/>
    <row r="192" s="59" customFormat="1" ht="20.100000000000001" customHeight="1" x14ac:dyDescent="0.3"/>
    <row r="193" s="59" customFormat="1" ht="20.100000000000001" customHeight="1" x14ac:dyDescent="0.3"/>
    <row r="194" s="59" customFormat="1" ht="20.100000000000001" customHeight="1" x14ac:dyDescent="0.3"/>
    <row r="195" s="59" customFormat="1" ht="20.100000000000001" customHeight="1" x14ac:dyDescent="0.3"/>
    <row r="196" s="59" customFormat="1" ht="20.100000000000001" customHeight="1" x14ac:dyDescent="0.3"/>
    <row r="197" s="59" customFormat="1" ht="20.100000000000001" customHeight="1" x14ac:dyDescent="0.3"/>
    <row r="198" s="59" customFormat="1" ht="20.100000000000001" customHeight="1" x14ac:dyDescent="0.3"/>
    <row r="199" s="59" customFormat="1" ht="20.100000000000001" customHeight="1" x14ac:dyDescent="0.3"/>
    <row r="200" s="59" customFormat="1" ht="20.100000000000001" customHeight="1" x14ac:dyDescent="0.3"/>
    <row r="201" s="59" customFormat="1" ht="20.100000000000001" customHeight="1" x14ac:dyDescent="0.3"/>
    <row r="202" s="59" customFormat="1" ht="20.100000000000001" customHeight="1" x14ac:dyDescent="0.3"/>
    <row r="203" s="59" customFormat="1" ht="20.100000000000001" customHeight="1" x14ac:dyDescent="0.3"/>
    <row r="204" s="59" customFormat="1" ht="20.100000000000001" customHeight="1" x14ac:dyDescent="0.3"/>
    <row r="205" s="59" customFormat="1" ht="20.100000000000001" customHeight="1" x14ac:dyDescent="0.3"/>
    <row r="206" s="59" customFormat="1" ht="20.100000000000001" customHeight="1" x14ac:dyDescent="0.3"/>
    <row r="207" s="59" customFormat="1" ht="20.100000000000001" customHeight="1" x14ac:dyDescent="0.3"/>
    <row r="208" s="59" customFormat="1" ht="20.100000000000001" customHeight="1" x14ac:dyDescent="0.3"/>
    <row r="209" s="59" customFormat="1" ht="20.100000000000001" customHeight="1" x14ac:dyDescent="0.3"/>
    <row r="210" s="59" customFormat="1" ht="20.100000000000001" customHeight="1" x14ac:dyDescent="0.3"/>
    <row r="211" s="59" customFormat="1" ht="20.100000000000001" customHeight="1" x14ac:dyDescent="0.3"/>
    <row r="212" s="59" customFormat="1" ht="20.100000000000001" customHeight="1" x14ac:dyDescent="0.3"/>
    <row r="213" s="59" customFormat="1" ht="20.100000000000001" customHeight="1" x14ac:dyDescent="0.3"/>
    <row r="214" s="59" customFormat="1" ht="20.100000000000001" customHeight="1" x14ac:dyDescent="0.3"/>
    <row r="215" s="59" customFormat="1" ht="20.100000000000001" customHeight="1" x14ac:dyDescent="0.3"/>
    <row r="216" s="59" customFormat="1" ht="20.100000000000001" customHeight="1" x14ac:dyDescent="0.3"/>
    <row r="217" s="59" customFormat="1" ht="20.100000000000001" customHeight="1" x14ac:dyDescent="0.3"/>
    <row r="218" s="59" customFormat="1" ht="20.100000000000001" customHeight="1" x14ac:dyDescent="0.3"/>
    <row r="219" s="59" customFormat="1" ht="20.100000000000001" customHeight="1" x14ac:dyDescent="0.3"/>
    <row r="220" s="59" customFormat="1" ht="20.100000000000001" customHeight="1" x14ac:dyDescent="0.3"/>
    <row r="221" s="59" customFormat="1" ht="20.100000000000001" customHeight="1" x14ac:dyDescent="0.3"/>
    <row r="222" s="59" customFormat="1" ht="20.100000000000001" customHeight="1" x14ac:dyDescent="0.3"/>
    <row r="223" s="59" customFormat="1" ht="20.100000000000001" customHeight="1" x14ac:dyDescent="0.3"/>
    <row r="224" s="59" customFormat="1" ht="20.100000000000001" customHeight="1" x14ac:dyDescent="0.3"/>
    <row r="225" s="59" customFormat="1" ht="20.100000000000001" customHeight="1" x14ac:dyDescent="0.3"/>
    <row r="226" s="59" customFormat="1" ht="20.100000000000001" customHeight="1" x14ac:dyDescent="0.3"/>
    <row r="227" s="59" customFormat="1" ht="20.100000000000001" customHeight="1" x14ac:dyDescent="0.3"/>
    <row r="228" s="59" customFormat="1" ht="20.100000000000001" customHeight="1" x14ac:dyDescent="0.3"/>
    <row r="229" s="59" customFormat="1" ht="20.100000000000001" customHeight="1" x14ac:dyDescent="0.3"/>
    <row r="230" s="59" customFormat="1" ht="20.100000000000001" customHeight="1" x14ac:dyDescent="0.3"/>
    <row r="231" s="59" customFormat="1" ht="20.100000000000001" customHeight="1" x14ac:dyDescent="0.3"/>
    <row r="232" s="59" customFormat="1" ht="20.100000000000001" customHeight="1" x14ac:dyDescent="0.3"/>
    <row r="233" s="59" customFormat="1" ht="20.100000000000001" customHeight="1" x14ac:dyDescent="0.3"/>
    <row r="234" s="59" customFormat="1" ht="20.100000000000001" customHeight="1" x14ac:dyDescent="0.3"/>
    <row r="235" s="59" customFormat="1" ht="20.100000000000001" customHeight="1" x14ac:dyDescent="0.3"/>
    <row r="236" s="59" customFormat="1" ht="20.100000000000001" customHeight="1" x14ac:dyDescent="0.3"/>
    <row r="237" s="59" customFormat="1" ht="20.100000000000001" customHeight="1" x14ac:dyDescent="0.3"/>
    <row r="238" s="59" customFormat="1" ht="20.100000000000001" customHeight="1" x14ac:dyDescent="0.3"/>
    <row r="239" s="59" customFormat="1" ht="20.100000000000001" customHeight="1" x14ac:dyDescent="0.3"/>
    <row r="240" s="59" customFormat="1" ht="20.100000000000001" customHeight="1" x14ac:dyDescent="0.3"/>
    <row r="241" s="59" customFormat="1" ht="20.100000000000001" customHeight="1" x14ac:dyDescent="0.3"/>
    <row r="242" s="59" customFormat="1" ht="20.100000000000001" customHeight="1" x14ac:dyDescent="0.3"/>
    <row r="243" s="59" customFormat="1" ht="20.100000000000001" customHeight="1" x14ac:dyDescent="0.3"/>
    <row r="244" s="59" customFormat="1" ht="20.100000000000001" customHeight="1" x14ac:dyDescent="0.3"/>
    <row r="245" s="59" customFormat="1" ht="20.100000000000001" customHeight="1" x14ac:dyDescent="0.3"/>
    <row r="246" s="59" customFormat="1" ht="20.100000000000001" customHeight="1" x14ac:dyDescent="0.3"/>
    <row r="247" s="59" customFormat="1" ht="20.100000000000001" customHeight="1" x14ac:dyDescent="0.3"/>
    <row r="248" s="59" customFormat="1" ht="20.100000000000001" customHeight="1" x14ac:dyDescent="0.3"/>
    <row r="249" s="59" customFormat="1" ht="20.100000000000001" customHeight="1" x14ac:dyDescent="0.3"/>
    <row r="250" s="59" customFormat="1" ht="20.100000000000001" customHeight="1" x14ac:dyDescent="0.3"/>
    <row r="251" s="59" customFormat="1" ht="20.100000000000001" customHeight="1" x14ac:dyDescent="0.3"/>
    <row r="252" s="59" customFormat="1" ht="20.100000000000001" customHeight="1" x14ac:dyDescent="0.3"/>
    <row r="253" s="59" customFormat="1" ht="20.100000000000001" customHeight="1" x14ac:dyDescent="0.3"/>
    <row r="254" s="59" customFormat="1" ht="20.100000000000001" customHeight="1" x14ac:dyDescent="0.3"/>
    <row r="255" s="59" customFormat="1" ht="20.100000000000001" customHeight="1" x14ac:dyDescent="0.3"/>
    <row r="256" s="59" customFormat="1" ht="20.100000000000001" customHeight="1" x14ac:dyDescent="0.3"/>
    <row r="257" s="59" customFormat="1" ht="20.100000000000001" customHeight="1" x14ac:dyDescent="0.3"/>
    <row r="258" s="59" customFormat="1" ht="20.100000000000001" customHeight="1" x14ac:dyDescent="0.3"/>
    <row r="259" s="59" customFormat="1" ht="20.100000000000001" customHeight="1" x14ac:dyDescent="0.3"/>
    <row r="260" s="59" customFormat="1" ht="14.25" x14ac:dyDescent="0.3"/>
    <row r="261" s="59" customFormat="1" ht="14.25" x14ac:dyDescent="0.3"/>
    <row r="262" s="59" customFormat="1" ht="14.25" x14ac:dyDescent="0.3"/>
    <row r="263" s="59" customFormat="1" ht="14.25" x14ac:dyDescent="0.3"/>
    <row r="264" s="59" customFormat="1" ht="14.25" x14ac:dyDescent="0.3"/>
    <row r="265" s="59" customFormat="1" ht="14.25" x14ac:dyDescent="0.3"/>
    <row r="266" s="59" customFormat="1" ht="14.25" x14ac:dyDescent="0.3"/>
    <row r="267" s="59" customFormat="1" ht="14.25" x14ac:dyDescent="0.3"/>
    <row r="268" s="59" customFormat="1" ht="14.25" x14ac:dyDescent="0.3"/>
    <row r="269" s="59" customFormat="1" ht="14.25" x14ac:dyDescent="0.3"/>
    <row r="270" s="59" customFormat="1" ht="14.25" x14ac:dyDescent="0.3"/>
    <row r="271" s="59" customFormat="1" ht="14.25" x14ac:dyDescent="0.3"/>
    <row r="272" s="59" customFormat="1" ht="14.25" x14ac:dyDescent="0.3"/>
    <row r="273" s="59" customFormat="1" ht="14.25" x14ac:dyDescent="0.3"/>
    <row r="274" s="59" customFormat="1" ht="14.25" x14ac:dyDescent="0.3"/>
    <row r="275" s="59" customFormat="1" ht="14.25" x14ac:dyDescent="0.3"/>
    <row r="276" s="59" customFormat="1" ht="14.25" x14ac:dyDescent="0.3"/>
    <row r="277" s="59" customFormat="1" ht="14.25" x14ac:dyDescent="0.3"/>
    <row r="278" s="59" customFormat="1" ht="14.25" x14ac:dyDescent="0.3"/>
    <row r="279" s="59" customFormat="1" ht="14.25" x14ac:dyDescent="0.3"/>
    <row r="280" s="59" customFormat="1" ht="14.25" x14ac:dyDescent="0.3"/>
    <row r="281" s="59" customFormat="1" ht="14.25" x14ac:dyDescent="0.3"/>
    <row r="282" s="59" customFormat="1" ht="14.25" x14ac:dyDescent="0.3"/>
    <row r="283" s="59" customFormat="1" ht="14.25" x14ac:dyDescent="0.3"/>
    <row r="284" s="59" customFormat="1" ht="14.25" x14ac:dyDescent="0.3"/>
    <row r="285" s="59" customFormat="1" ht="14.25" x14ac:dyDescent="0.3"/>
    <row r="286" s="59" customFormat="1" ht="14.25" x14ac:dyDescent="0.3"/>
    <row r="287" s="59" customFormat="1" ht="14.25" x14ac:dyDescent="0.3"/>
    <row r="288" s="59" customFormat="1" ht="14.25" x14ac:dyDescent="0.3"/>
    <row r="289" s="59" customFormat="1" ht="14.25" x14ac:dyDescent="0.3"/>
    <row r="290" s="59" customFormat="1" ht="14.25" x14ac:dyDescent="0.3"/>
    <row r="291" s="59" customFormat="1" ht="14.25" x14ac:dyDescent="0.3"/>
    <row r="292" s="59" customFormat="1" ht="14.25" x14ac:dyDescent="0.3"/>
    <row r="293" s="59" customFormat="1" ht="14.25" x14ac:dyDescent="0.3"/>
    <row r="294" s="59" customFormat="1" ht="14.25" x14ac:dyDescent="0.3"/>
    <row r="295" s="59" customFormat="1" ht="14.25" x14ac:dyDescent="0.3"/>
    <row r="296" s="59" customFormat="1" ht="14.25" x14ac:dyDescent="0.3"/>
    <row r="297" s="59" customFormat="1" ht="14.25" x14ac:dyDescent="0.3"/>
    <row r="298" s="59" customFormat="1" ht="14.25" x14ac:dyDescent="0.3"/>
    <row r="299" s="59" customFormat="1" ht="14.25" x14ac:dyDescent="0.3"/>
    <row r="300" s="59" customFormat="1" ht="14.25" x14ac:dyDescent="0.3"/>
    <row r="301" s="59" customFormat="1" ht="14.25" x14ac:dyDescent="0.3"/>
    <row r="302" s="59" customFormat="1" ht="14.25" x14ac:dyDescent="0.3"/>
    <row r="303" s="59" customFormat="1" ht="14.25" x14ac:dyDescent="0.3"/>
    <row r="304" s="59" customFormat="1" ht="14.25" x14ac:dyDescent="0.3"/>
    <row r="305" s="59" customFormat="1" ht="14.25" x14ac:dyDescent="0.3"/>
    <row r="306" s="59" customFormat="1" ht="14.25" x14ac:dyDescent="0.3"/>
    <row r="307" s="59" customFormat="1" ht="14.25" x14ac:dyDescent="0.3"/>
    <row r="308" s="59" customFormat="1" ht="14.25" x14ac:dyDescent="0.3"/>
    <row r="309" s="59" customFormat="1" ht="14.25" x14ac:dyDescent="0.3"/>
    <row r="310" s="59" customFormat="1" ht="14.25" x14ac:dyDescent="0.3"/>
    <row r="311" s="59" customFormat="1" ht="14.25" x14ac:dyDescent="0.3"/>
    <row r="312" s="59" customFormat="1" ht="14.25" x14ac:dyDescent="0.3"/>
    <row r="313" s="59" customFormat="1" ht="14.25" x14ac:dyDescent="0.3"/>
    <row r="314" s="59" customFormat="1" ht="14.25" x14ac:dyDescent="0.3"/>
    <row r="315" s="59" customFormat="1" ht="14.25" x14ac:dyDescent="0.3"/>
    <row r="316" s="59" customFormat="1" ht="14.25" x14ac:dyDescent="0.3"/>
    <row r="317" s="59" customFormat="1" ht="14.25" x14ac:dyDescent="0.3"/>
    <row r="318" s="59" customFormat="1" ht="14.25" x14ac:dyDescent="0.3"/>
    <row r="319" s="59" customFormat="1" ht="14.25" x14ac:dyDescent="0.3"/>
    <row r="320" s="59" customFormat="1" ht="14.25" x14ac:dyDescent="0.3"/>
    <row r="321" s="59" customFormat="1" ht="14.25" x14ac:dyDescent="0.3"/>
    <row r="322" s="59" customFormat="1" ht="14.25" x14ac:dyDescent="0.3"/>
    <row r="323" s="59" customFormat="1" ht="14.25" x14ac:dyDescent="0.3"/>
    <row r="324" s="59" customFormat="1" ht="14.25" x14ac:dyDescent="0.3"/>
    <row r="325" s="59" customFormat="1" ht="14.25" x14ac:dyDescent="0.3"/>
    <row r="326" s="59" customFormat="1" ht="14.25" x14ac:dyDescent="0.3"/>
    <row r="327" s="59" customFormat="1" ht="14.25" x14ac:dyDescent="0.3"/>
    <row r="328" s="59" customFormat="1" ht="14.25" x14ac:dyDescent="0.3"/>
    <row r="329" s="59" customFormat="1" ht="14.25" x14ac:dyDescent="0.3"/>
    <row r="330" s="59" customFormat="1" ht="14.25" x14ac:dyDescent="0.3"/>
    <row r="331" s="59" customFormat="1" ht="14.25" x14ac:dyDescent="0.3"/>
    <row r="332" s="59" customFormat="1" ht="14.25" x14ac:dyDescent="0.3"/>
    <row r="333" s="59" customFormat="1" ht="14.25" x14ac:dyDescent="0.3"/>
    <row r="334" s="59" customFormat="1" ht="14.25" x14ac:dyDescent="0.3"/>
    <row r="335" s="59" customFormat="1" ht="14.25" x14ac:dyDescent="0.3"/>
    <row r="336" s="59" customFormat="1" ht="14.25" x14ac:dyDescent="0.3"/>
    <row r="337" s="59" customFormat="1" ht="14.25" x14ac:dyDescent="0.3"/>
    <row r="338" s="59" customFormat="1" ht="14.25" x14ac:dyDescent="0.3"/>
    <row r="339" s="59" customFormat="1" ht="14.25" x14ac:dyDescent="0.3"/>
    <row r="340" s="59" customFormat="1" ht="14.25" x14ac:dyDescent="0.3"/>
    <row r="341" s="59" customFormat="1" ht="14.25" x14ac:dyDescent="0.3"/>
    <row r="342" s="59" customFormat="1" ht="14.25" x14ac:dyDescent="0.3"/>
    <row r="343" s="59" customFormat="1" ht="14.25" x14ac:dyDescent="0.3"/>
    <row r="344" s="59" customFormat="1" ht="14.25" x14ac:dyDescent="0.3"/>
    <row r="345" s="59" customFormat="1" ht="14.25" x14ac:dyDescent="0.3"/>
    <row r="346" s="59" customFormat="1" ht="14.25" x14ac:dyDescent="0.3"/>
    <row r="347" s="59" customFormat="1" ht="14.25" x14ac:dyDescent="0.3"/>
    <row r="348" s="59" customFormat="1" ht="14.25" x14ac:dyDescent="0.3"/>
    <row r="349" s="59" customFormat="1" ht="14.25" x14ac:dyDescent="0.3"/>
    <row r="350" s="59" customFormat="1" ht="14.25" x14ac:dyDescent="0.3"/>
    <row r="351" s="59" customFormat="1" ht="14.25" x14ac:dyDescent="0.3"/>
    <row r="352" s="59" customFormat="1" ht="14.25" x14ac:dyDescent="0.3"/>
    <row r="353" s="59" customFormat="1" ht="14.25" x14ac:dyDescent="0.3"/>
    <row r="354" s="59" customFormat="1" ht="14.25" x14ac:dyDescent="0.3"/>
    <row r="355" s="59" customFormat="1" ht="14.25" x14ac:dyDescent="0.3"/>
    <row r="356" s="59" customFormat="1" ht="14.25" x14ac:dyDescent="0.3"/>
    <row r="357" s="59" customFormat="1" ht="14.25" x14ac:dyDescent="0.3"/>
    <row r="358" s="59" customFormat="1" ht="14.25" x14ac:dyDescent="0.3"/>
    <row r="359" s="59" customFormat="1" ht="14.25" x14ac:dyDescent="0.3"/>
    <row r="360" s="59" customFormat="1" ht="14.25" x14ac:dyDescent="0.3"/>
    <row r="361" s="59" customFormat="1" ht="14.25" x14ac:dyDescent="0.3"/>
    <row r="362" s="59" customFormat="1" ht="14.25" x14ac:dyDescent="0.3"/>
    <row r="363" s="59" customFormat="1" ht="14.25" x14ac:dyDescent="0.3"/>
    <row r="364" s="59" customFormat="1" ht="14.25" x14ac:dyDescent="0.3"/>
    <row r="365" s="59" customFormat="1" ht="14.25" x14ac:dyDescent="0.3"/>
    <row r="366" s="59" customFormat="1" ht="14.25" x14ac:dyDescent="0.3"/>
    <row r="367" s="59" customFormat="1" ht="14.25" x14ac:dyDescent="0.3"/>
    <row r="368" s="59" customFormat="1" ht="14.25" x14ac:dyDescent="0.3"/>
    <row r="369" s="59" customFormat="1" ht="14.25" x14ac:dyDescent="0.3"/>
    <row r="370" s="59" customFormat="1" ht="14.25" x14ac:dyDescent="0.3"/>
    <row r="371" s="59" customFormat="1" ht="14.25" x14ac:dyDescent="0.3"/>
    <row r="372" s="59" customFormat="1" ht="14.25" x14ac:dyDescent="0.3"/>
    <row r="373" s="59" customFormat="1" ht="14.25" x14ac:dyDescent="0.3"/>
    <row r="374" s="59" customFormat="1" ht="14.25" x14ac:dyDescent="0.3"/>
    <row r="375" s="59" customFormat="1" ht="14.25" x14ac:dyDescent="0.3"/>
    <row r="376" s="59" customFormat="1" ht="14.25" x14ac:dyDescent="0.3"/>
    <row r="377" s="59" customFormat="1" ht="14.25" x14ac:dyDescent="0.3"/>
    <row r="378" s="59" customFormat="1" ht="14.25" x14ac:dyDescent="0.3"/>
    <row r="379" s="59" customFormat="1" ht="14.25" x14ac:dyDescent="0.3"/>
    <row r="380" s="59" customFormat="1" ht="14.25" x14ac:dyDescent="0.3"/>
    <row r="381" s="59" customFormat="1" ht="14.25" x14ac:dyDescent="0.3"/>
    <row r="382" s="59" customFormat="1" ht="14.25" x14ac:dyDescent="0.3"/>
    <row r="383" s="59" customFormat="1" ht="14.25" x14ac:dyDescent="0.3"/>
    <row r="384" s="59" customFormat="1" ht="14.25" x14ac:dyDescent="0.3"/>
    <row r="385" s="59" customFormat="1" ht="14.25" x14ac:dyDescent="0.3"/>
    <row r="386" s="59" customFormat="1" ht="14.25" x14ac:dyDescent="0.3"/>
    <row r="387" s="59" customFormat="1" ht="14.25" x14ac:dyDescent="0.3"/>
    <row r="388" s="59" customFormat="1" ht="14.25" x14ac:dyDescent="0.3"/>
    <row r="389" s="59" customFormat="1" ht="14.25" x14ac:dyDescent="0.3"/>
    <row r="390" s="59" customFormat="1" ht="14.25" x14ac:dyDescent="0.3"/>
    <row r="391" s="59" customFormat="1" ht="14.25" x14ac:dyDescent="0.3"/>
    <row r="392" s="59" customFormat="1" ht="14.25" x14ac:dyDescent="0.3"/>
    <row r="393" s="59" customFormat="1" ht="14.25" x14ac:dyDescent="0.3"/>
    <row r="394" s="59" customFormat="1" ht="14.25" x14ac:dyDescent="0.3"/>
    <row r="395" s="59" customFormat="1" ht="14.25" x14ac:dyDescent="0.3"/>
    <row r="396" s="59" customFormat="1" ht="14.25" x14ac:dyDescent="0.3"/>
    <row r="397" s="59" customFormat="1" ht="14.25" x14ac:dyDescent="0.3"/>
    <row r="398" s="59" customFormat="1" ht="14.25" x14ac:dyDescent="0.3"/>
    <row r="399" s="59" customFormat="1" ht="14.25" x14ac:dyDescent="0.3"/>
    <row r="400" s="59" customFormat="1" ht="14.25" x14ac:dyDescent="0.3"/>
    <row r="401" s="59" customFormat="1" ht="14.25" x14ac:dyDescent="0.3"/>
    <row r="402" s="59" customFormat="1" ht="14.25" x14ac:dyDescent="0.3"/>
    <row r="403" s="59" customFormat="1" ht="14.25" x14ac:dyDescent="0.3"/>
    <row r="404" s="59" customFormat="1" ht="14.25" x14ac:dyDescent="0.3"/>
    <row r="405" s="59" customFormat="1" ht="14.25" x14ac:dyDescent="0.3"/>
    <row r="406" s="59" customFormat="1" ht="14.25" x14ac:dyDescent="0.3"/>
    <row r="407" s="59" customFormat="1" ht="14.25" x14ac:dyDescent="0.3"/>
    <row r="408" s="59" customFormat="1" ht="14.25" x14ac:dyDescent="0.3"/>
    <row r="409" s="59" customFormat="1" ht="14.25" x14ac:dyDescent="0.3"/>
    <row r="410" s="59" customFormat="1" ht="14.25" x14ac:dyDescent="0.3"/>
    <row r="411" s="59" customFormat="1" ht="14.25" x14ac:dyDescent="0.3"/>
    <row r="412" s="59" customFormat="1" ht="14.25" x14ac:dyDescent="0.3"/>
    <row r="413" s="59" customFormat="1" ht="14.25" x14ac:dyDescent="0.3"/>
    <row r="414" s="59" customFormat="1" ht="14.25" x14ac:dyDescent="0.3"/>
    <row r="415" s="59" customFormat="1" ht="14.25" x14ac:dyDescent="0.3"/>
    <row r="416" s="59" customFormat="1" ht="14.25" x14ac:dyDescent="0.3"/>
    <row r="417" s="59" customFormat="1" ht="14.25" x14ac:dyDescent="0.3"/>
    <row r="418" s="59" customFormat="1" ht="14.25" x14ac:dyDescent="0.3"/>
    <row r="419" s="59" customFormat="1" ht="14.25" x14ac:dyDescent="0.3"/>
    <row r="420" s="59" customFormat="1" ht="14.25" x14ac:dyDescent="0.3"/>
    <row r="421" s="59" customFormat="1" ht="14.25" x14ac:dyDescent="0.3"/>
    <row r="422" s="59" customFormat="1" ht="14.25" x14ac:dyDescent="0.3"/>
    <row r="423" s="59" customFormat="1" ht="14.25" x14ac:dyDescent="0.3"/>
    <row r="424" s="59" customFormat="1" ht="14.25" x14ac:dyDescent="0.3"/>
    <row r="425" s="59" customFormat="1" ht="14.25" x14ac:dyDescent="0.3"/>
    <row r="426" s="59" customFormat="1" ht="14.25" x14ac:dyDescent="0.3"/>
    <row r="427" s="59" customFormat="1" ht="14.25" x14ac:dyDescent="0.3"/>
    <row r="428" s="59" customFormat="1" ht="14.25" x14ac:dyDescent="0.3"/>
    <row r="429" s="59" customFormat="1" ht="14.25" x14ac:dyDescent="0.3"/>
    <row r="430" s="59" customFormat="1" ht="14.25" x14ac:dyDescent="0.3"/>
    <row r="431" s="59" customFormat="1" ht="14.25" x14ac:dyDescent="0.3"/>
    <row r="432" s="59" customFormat="1" ht="14.25" x14ac:dyDescent="0.3"/>
    <row r="433" s="59" customFormat="1" ht="14.25" x14ac:dyDescent="0.3"/>
    <row r="434" s="59" customFormat="1" ht="14.25" x14ac:dyDescent="0.3"/>
    <row r="435" s="59" customFormat="1" ht="14.25" x14ac:dyDescent="0.3"/>
    <row r="436" s="59" customFormat="1" ht="14.25" x14ac:dyDescent="0.3"/>
    <row r="437" s="59" customFormat="1" ht="14.25" x14ac:dyDescent="0.3"/>
    <row r="438" s="59" customFormat="1" ht="14.25" x14ac:dyDescent="0.3"/>
    <row r="439" s="59" customFormat="1" ht="14.25" x14ac:dyDescent="0.3"/>
    <row r="440" s="59" customFormat="1" ht="14.25" x14ac:dyDescent="0.3"/>
    <row r="441" s="59" customFormat="1" ht="14.25" x14ac:dyDescent="0.3"/>
    <row r="442" s="59" customFormat="1" ht="14.25" x14ac:dyDescent="0.3"/>
    <row r="443" s="59" customFormat="1" ht="14.25" x14ac:dyDescent="0.3"/>
    <row r="444" s="59" customFormat="1" ht="14.25" x14ac:dyDescent="0.3"/>
    <row r="445" s="59" customFormat="1" ht="14.25" x14ac:dyDescent="0.3"/>
    <row r="446" s="59" customFormat="1" ht="14.25" x14ac:dyDescent="0.3"/>
    <row r="447" s="59" customFormat="1" ht="14.25" x14ac:dyDescent="0.3"/>
    <row r="448" s="59" customFormat="1" ht="14.25" x14ac:dyDescent="0.3"/>
    <row r="449" s="59" customFormat="1" ht="14.25" x14ac:dyDescent="0.3"/>
    <row r="450" s="59" customFormat="1" ht="14.25" x14ac:dyDescent="0.3"/>
    <row r="451" s="59" customFormat="1" ht="14.25" x14ac:dyDescent="0.3"/>
    <row r="452" s="59" customFormat="1" ht="14.25" x14ac:dyDescent="0.3"/>
    <row r="453" s="59" customFormat="1" ht="14.25" x14ac:dyDescent="0.3"/>
    <row r="454" s="59" customFormat="1" ht="14.25" x14ac:dyDescent="0.3"/>
    <row r="455" s="59" customFormat="1" ht="14.25" x14ac:dyDescent="0.3"/>
    <row r="456" s="59" customFormat="1" ht="14.25" x14ac:dyDescent="0.3"/>
    <row r="457" s="59" customFormat="1" ht="14.25" x14ac:dyDescent="0.3"/>
    <row r="458" s="59" customFormat="1" ht="14.25" x14ac:dyDescent="0.3"/>
    <row r="459" s="59" customFormat="1" ht="14.25" x14ac:dyDescent="0.3"/>
    <row r="460" s="59" customFormat="1" ht="14.25" x14ac:dyDescent="0.3"/>
    <row r="461" s="59" customFormat="1" ht="14.25" x14ac:dyDescent="0.3"/>
    <row r="462" s="59" customFormat="1" ht="14.25" x14ac:dyDescent="0.3"/>
    <row r="463" s="59" customFormat="1" ht="14.25" x14ac:dyDescent="0.3"/>
    <row r="464" s="59" customFormat="1" ht="14.25" x14ac:dyDescent="0.3"/>
    <row r="465" s="59" customFormat="1" ht="14.25" x14ac:dyDescent="0.3"/>
    <row r="466" s="59" customFormat="1" ht="14.25" x14ac:dyDescent="0.3"/>
    <row r="467" s="59" customFormat="1" ht="14.25" x14ac:dyDescent="0.3"/>
    <row r="468" s="59" customFormat="1" ht="14.25" x14ac:dyDescent="0.3"/>
    <row r="469" s="59" customFormat="1" ht="14.25" x14ac:dyDescent="0.3"/>
    <row r="470" s="59" customFormat="1" ht="14.25" x14ac:dyDescent="0.3"/>
    <row r="471" s="59" customFormat="1" ht="14.25" x14ac:dyDescent="0.3"/>
    <row r="472" s="59" customFormat="1" ht="14.25" x14ac:dyDescent="0.3"/>
    <row r="473" s="59" customFormat="1" ht="14.25" x14ac:dyDescent="0.3"/>
    <row r="474" s="59" customFormat="1" ht="14.25" x14ac:dyDescent="0.3"/>
    <row r="475" s="59" customFormat="1" ht="14.25" x14ac:dyDescent="0.3"/>
    <row r="476" s="59" customFormat="1" ht="14.25" x14ac:dyDescent="0.3"/>
    <row r="477" s="59" customFormat="1" ht="14.25" x14ac:dyDescent="0.3"/>
    <row r="478" s="59" customFormat="1" ht="14.25" x14ac:dyDescent="0.3"/>
    <row r="479" s="59" customFormat="1" ht="14.25" x14ac:dyDescent="0.3"/>
    <row r="480" s="59" customFormat="1" ht="14.25" x14ac:dyDescent="0.3"/>
    <row r="481" s="59" customFormat="1" ht="14.25" x14ac:dyDescent="0.3"/>
    <row r="482" s="59" customFormat="1" ht="14.25" x14ac:dyDescent="0.3"/>
    <row r="483" s="59" customFormat="1" ht="14.25" x14ac:dyDescent="0.3"/>
    <row r="484" s="59" customFormat="1" ht="14.25" x14ac:dyDescent="0.3"/>
    <row r="485" s="59" customFormat="1" ht="14.25" x14ac:dyDescent="0.3"/>
    <row r="486" s="59" customFormat="1" ht="14.25" x14ac:dyDescent="0.3"/>
    <row r="487" s="59" customFormat="1" ht="14.25" x14ac:dyDescent="0.3"/>
    <row r="488" s="59" customFormat="1" ht="14.25" x14ac:dyDescent="0.3"/>
    <row r="489" s="59" customFormat="1" ht="14.25" x14ac:dyDescent="0.3"/>
    <row r="490" s="59" customFormat="1" ht="14.25" x14ac:dyDescent="0.3"/>
    <row r="491" s="59" customFormat="1" ht="14.25" x14ac:dyDescent="0.3"/>
    <row r="492" s="59" customFormat="1" ht="14.25" x14ac:dyDescent="0.3"/>
    <row r="493" s="59" customFormat="1" ht="14.25" x14ac:dyDescent="0.3"/>
    <row r="494" s="59" customFormat="1" ht="14.25" x14ac:dyDescent="0.3"/>
    <row r="495" s="59" customFormat="1" ht="14.25" x14ac:dyDescent="0.3"/>
    <row r="496" s="59" customFormat="1" ht="14.25" x14ac:dyDescent="0.3"/>
    <row r="497" s="59" customFormat="1" ht="14.25" x14ac:dyDescent="0.3"/>
    <row r="498" s="59" customFormat="1" ht="14.25" x14ac:dyDescent="0.3"/>
    <row r="499" s="59" customFormat="1" ht="14.25" x14ac:dyDescent="0.3"/>
    <row r="500" s="59" customFormat="1" ht="14.25" x14ac:dyDescent="0.3"/>
    <row r="501" s="59" customFormat="1" ht="14.25" x14ac:dyDescent="0.3"/>
    <row r="502" s="59" customFormat="1" ht="14.25" x14ac:dyDescent="0.3"/>
    <row r="503" s="59" customFormat="1" ht="14.25" x14ac:dyDescent="0.3"/>
    <row r="504" s="59" customFormat="1" ht="14.25" x14ac:dyDescent="0.3"/>
    <row r="505" s="59" customFormat="1" ht="14.25" x14ac:dyDescent="0.3"/>
    <row r="506" s="59" customFormat="1" ht="14.25" x14ac:dyDescent="0.3"/>
    <row r="507" s="59" customFormat="1" ht="14.25" x14ac:dyDescent="0.3"/>
    <row r="508" s="59" customFormat="1" ht="14.25" x14ac:dyDescent="0.3"/>
    <row r="509" s="59" customFormat="1" ht="14.25" x14ac:dyDescent="0.3"/>
    <row r="510" s="59" customFormat="1" ht="14.25" x14ac:dyDescent="0.3"/>
    <row r="511" s="59" customFormat="1" ht="14.25" x14ac:dyDescent="0.3"/>
    <row r="512" s="59" customFormat="1" ht="14.25" x14ac:dyDescent="0.3"/>
    <row r="513" s="59" customFormat="1" ht="14.25" x14ac:dyDescent="0.3"/>
    <row r="514" s="59" customFormat="1" ht="14.25" x14ac:dyDescent="0.3"/>
    <row r="515" s="59" customFormat="1" ht="14.25" x14ac:dyDescent="0.3"/>
    <row r="516" s="59" customFormat="1" ht="14.25" x14ac:dyDescent="0.3"/>
    <row r="517" s="59" customFormat="1" ht="14.25" x14ac:dyDescent="0.3"/>
    <row r="518" s="59" customFormat="1" ht="14.25" x14ac:dyDescent="0.3"/>
    <row r="519" s="59" customFormat="1" ht="14.25" x14ac:dyDescent="0.3"/>
    <row r="520" s="59" customFormat="1" ht="14.25" x14ac:dyDescent="0.3"/>
    <row r="521" s="59" customFormat="1" ht="14.25" x14ac:dyDescent="0.3"/>
    <row r="522" s="59" customFormat="1" ht="14.25" x14ac:dyDescent="0.3"/>
    <row r="523" s="59" customFormat="1" ht="14.25" x14ac:dyDescent="0.3"/>
    <row r="524" s="59" customFormat="1" ht="14.25" x14ac:dyDescent="0.3"/>
    <row r="525" s="59" customFormat="1" ht="14.25" x14ac:dyDescent="0.3"/>
    <row r="526" s="59" customFormat="1" ht="14.25" x14ac:dyDescent="0.3"/>
    <row r="527" s="59" customFormat="1" ht="14.25" x14ac:dyDescent="0.3"/>
    <row r="528" s="59" customFormat="1" ht="14.25" x14ac:dyDescent="0.3"/>
    <row r="529" s="59" customFormat="1" ht="14.25" x14ac:dyDescent="0.3"/>
    <row r="530" s="59" customFormat="1" ht="14.25" x14ac:dyDescent="0.3"/>
    <row r="531" s="59" customFormat="1" ht="14.25" x14ac:dyDescent="0.3"/>
    <row r="532" s="59" customFormat="1" ht="14.25" x14ac:dyDescent="0.3"/>
    <row r="533" s="59" customFormat="1" ht="14.25" x14ac:dyDescent="0.3"/>
    <row r="534" s="59" customFormat="1" ht="14.25" x14ac:dyDescent="0.3"/>
    <row r="535" s="59" customFormat="1" ht="14.25" x14ac:dyDescent="0.3"/>
    <row r="536" s="59" customFormat="1" ht="14.25" x14ac:dyDescent="0.3"/>
    <row r="537" s="59" customFormat="1" ht="14.25" x14ac:dyDescent="0.3"/>
    <row r="538" s="59" customFormat="1" ht="14.25" x14ac:dyDescent="0.3"/>
    <row r="539" s="59" customFormat="1" ht="14.25" x14ac:dyDescent="0.3"/>
    <row r="540" s="59" customFormat="1" ht="14.25" x14ac:dyDescent="0.3"/>
    <row r="541" s="59" customFormat="1" ht="14.25" x14ac:dyDescent="0.3"/>
    <row r="542" s="59" customFormat="1" ht="14.25" x14ac:dyDescent="0.3"/>
    <row r="543" s="59" customFormat="1" ht="14.25" x14ac:dyDescent="0.3"/>
    <row r="544" s="59" customFormat="1" ht="14.25" x14ac:dyDescent="0.3"/>
    <row r="545" s="59" customFormat="1" ht="14.25" x14ac:dyDescent="0.3"/>
  </sheetData>
  <mergeCells count="23">
    <mergeCell ref="A5:B5"/>
    <mergeCell ref="A14:B14"/>
    <mergeCell ref="A19:A20"/>
    <mergeCell ref="A21:B21"/>
    <mergeCell ref="A3:B4"/>
    <mergeCell ref="A9:B9"/>
    <mergeCell ref="A10:B10"/>
    <mergeCell ref="A17:A18"/>
    <mergeCell ref="A15:A16"/>
    <mergeCell ref="A24:B24"/>
    <mergeCell ref="A39:B39"/>
    <mergeCell ref="A40:B40"/>
    <mergeCell ref="E37:E40"/>
    <mergeCell ref="F37:F40"/>
    <mergeCell ref="A25:B25"/>
    <mergeCell ref="A26:B26"/>
    <mergeCell ref="A27:B27"/>
    <mergeCell ref="A31:B31"/>
    <mergeCell ref="A32:B32"/>
    <mergeCell ref="A28:B28"/>
    <mergeCell ref="A35:F35"/>
    <mergeCell ref="A37:B37"/>
    <mergeCell ref="A38:B38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5DBD-86C8-4496-9030-4C6EDB176EC5}">
  <dimension ref="A1:J541"/>
  <sheetViews>
    <sheetView workbookViewId="0">
      <selection activeCell="D42" sqref="D42"/>
    </sheetView>
  </sheetViews>
  <sheetFormatPr defaultColWidth="8.875" defaultRowHeight="13.5" x14ac:dyDescent="0.3"/>
  <cols>
    <col min="1" max="1" width="15.25" style="54" customWidth="1"/>
    <col min="2" max="2" width="21.125" style="54" customWidth="1"/>
    <col min="3" max="3" width="20.125" style="54" customWidth="1"/>
    <col min="4" max="4" width="22.375" style="54" customWidth="1"/>
    <col min="5" max="5" width="32.25" style="54" customWidth="1"/>
    <col min="6" max="6" width="27.125" style="54" customWidth="1"/>
    <col min="7" max="7" width="31.5" style="54" customWidth="1"/>
    <col min="8" max="9" width="23.25" style="54" customWidth="1"/>
    <col min="10" max="256" width="8.875" style="54"/>
    <col min="257" max="257" width="8.75" style="54" customWidth="1"/>
    <col min="258" max="258" width="10" style="54" customWidth="1"/>
    <col min="259" max="259" width="20.125" style="54" customWidth="1"/>
    <col min="260" max="260" width="16.875" style="54" customWidth="1"/>
    <col min="261" max="265" width="23.25" style="54" customWidth="1"/>
    <col min="266" max="512" width="8.875" style="54"/>
    <col min="513" max="513" width="8.75" style="54" customWidth="1"/>
    <col min="514" max="514" width="10" style="54" customWidth="1"/>
    <col min="515" max="515" width="20.125" style="54" customWidth="1"/>
    <col min="516" max="516" width="16.875" style="54" customWidth="1"/>
    <col min="517" max="521" width="23.25" style="54" customWidth="1"/>
    <col min="522" max="768" width="8.875" style="54"/>
    <col min="769" max="769" width="8.75" style="54" customWidth="1"/>
    <col min="770" max="770" width="10" style="54" customWidth="1"/>
    <col min="771" max="771" width="20.125" style="54" customWidth="1"/>
    <col min="772" max="772" width="16.875" style="54" customWidth="1"/>
    <col min="773" max="777" width="23.25" style="54" customWidth="1"/>
    <col min="778" max="1024" width="8.875" style="54"/>
    <col min="1025" max="1025" width="8.75" style="54" customWidth="1"/>
    <col min="1026" max="1026" width="10" style="54" customWidth="1"/>
    <col min="1027" max="1027" width="20.125" style="54" customWidth="1"/>
    <col min="1028" max="1028" width="16.875" style="54" customWidth="1"/>
    <col min="1029" max="1033" width="23.25" style="54" customWidth="1"/>
    <col min="1034" max="1280" width="8.875" style="54"/>
    <col min="1281" max="1281" width="8.75" style="54" customWidth="1"/>
    <col min="1282" max="1282" width="10" style="54" customWidth="1"/>
    <col min="1283" max="1283" width="20.125" style="54" customWidth="1"/>
    <col min="1284" max="1284" width="16.875" style="54" customWidth="1"/>
    <col min="1285" max="1289" width="23.25" style="54" customWidth="1"/>
    <col min="1290" max="1536" width="8.875" style="54"/>
    <col min="1537" max="1537" width="8.75" style="54" customWidth="1"/>
    <col min="1538" max="1538" width="10" style="54" customWidth="1"/>
    <col min="1539" max="1539" width="20.125" style="54" customWidth="1"/>
    <col min="1540" max="1540" width="16.875" style="54" customWidth="1"/>
    <col min="1541" max="1545" width="23.25" style="54" customWidth="1"/>
    <col min="1546" max="1792" width="8.875" style="54"/>
    <col min="1793" max="1793" width="8.75" style="54" customWidth="1"/>
    <col min="1794" max="1794" width="10" style="54" customWidth="1"/>
    <col min="1795" max="1795" width="20.125" style="54" customWidth="1"/>
    <col min="1796" max="1796" width="16.875" style="54" customWidth="1"/>
    <col min="1797" max="1801" width="23.25" style="54" customWidth="1"/>
    <col min="1802" max="2048" width="8.875" style="54"/>
    <col min="2049" max="2049" width="8.75" style="54" customWidth="1"/>
    <col min="2050" max="2050" width="10" style="54" customWidth="1"/>
    <col min="2051" max="2051" width="20.125" style="54" customWidth="1"/>
    <col min="2052" max="2052" width="16.875" style="54" customWidth="1"/>
    <col min="2053" max="2057" width="23.25" style="54" customWidth="1"/>
    <col min="2058" max="2304" width="8.875" style="54"/>
    <col min="2305" max="2305" width="8.75" style="54" customWidth="1"/>
    <col min="2306" max="2306" width="10" style="54" customWidth="1"/>
    <col min="2307" max="2307" width="20.125" style="54" customWidth="1"/>
    <col min="2308" max="2308" width="16.875" style="54" customWidth="1"/>
    <col min="2309" max="2313" width="23.25" style="54" customWidth="1"/>
    <col min="2314" max="2560" width="8.875" style="54"/>
    <col min="2561" max="2561" width="8.75" style="54" customWidth="1"/>
    <col min="2562" max="2562" width="10" style="54" customWidth="1"/>
    <col min="2563" max="2563" width="20.125" style="54" customWidth="1"/>
    <col min="2564" max="2564" width="16.875" style="54" customWidth="1"/>
    <col min="2565" max="2569" width="23.25" style="54" customWidth="1"/>
    <col min="2570" max="2816" width="8.875" style="54"/>
    <col min="2817" max="2817" width="8.75" style="54" customWidth="1"/>
    <col min="2818" max="2818" width="10" style="54" customWidth="1"/>
    <col min="2819" max="2819" width="20.125" style="54" customWidth="1"/>
    <col min="2820" max="2820" width="16.875" style="54" customWidth="1"/>
    <col min="2821" max="2825" width="23.25" style="54" customWidth="1"/>
    <col min="2826" max="3072" width="8.875" style="54"/>
    <col min="3073" max="3073" width="8.75" style="54" customWidth="1"/>
    <col min="3074" max="3074" width="10" style="54" customWidth="1"/>
    <col min="3075" max="3075" width="20.125" style="54" customWidth="1"/>
    <col min="3076" max="3076" width="16.875" style="54" customWidth="1"/>
    <col min="3077" max="3081" width="23.25" style="54" customWidth="1"/>
    <col min="3082" max="3328" width="8.875" style="54"/>
    <col min="3329" max="3329" width="8.75" style="54" customWidth="1"/>
    <col min="3330" max="3330" width="10" style="54" customWidth="1"/>
    <col min="3331" max="3331" width="20.125" style="54" customWidth="1"/>
    <col min="3332" max="3332" width="16.875" style="54" customWidth="1"/>
    <col min="3333" max="3337" width="23.25" style="54" customWidth="1"/>
    <col min="3338" max="3584" width="8.875" style="54"/>
    <col min="3585" max="3585" width="8.75" style="54" customWidth="1"/>
    <col min="3586" max="3586" width="10" style="54" customWidth="1"/>
    <col min="3587" max="3587" width="20.125" style="54" customWidth="1"/>
    <col min="3588" max="3588" width="16.875" style="54" customWidth="1"/>
    <col min="3589" max="3593" width="23.25" style="54" customWidth="1"/>
    <col min="3594" max="3840" width="8.875" style="54"/>
    <col min="3841" max="3841" width="8.75" style="54" customWidth="1"/>
    <col min="3842" max="3842" width="10" style="54" customWidth="1"/>
    <col min="3843" max="3843" width="20.125" style="54" customWidth="1"/>
    <col min="3844" max="3844" width="16.875" style="54" customWidth="1"/>
    <col min="3845" max="3849" width="23.25" style="54" customWidth="1"/>
    <col min="3850" max="4096" width="8.875" style="54"/>
    <col min="4097" max="4097" width="8.75" style="54" customWidth="1"/>
    <col min="4098" max="4098" width="10" style="54" customWidth="1"/>
    <col min="4099" max="4099" width="20.125" style="54" customWidth="1"/>
    <col min="4100" max="4100" width="16.875" style="54" customWidth="1"/>
    <col min="4101" max="4105" width="23.25" style="54" customWidth="1"/>
    <col min="4106" max="4352" width="8.875" style="54"/>
    <col min="4353" max="4353" width="8.75" style="54" customWidth="1"/>
    <col min="4354" max="4354" width="10" style="54" customWidth="1"/>
    <col min="4355" max="4355" width="20.125" style="54" customWidth="1"/>
    <col min="4356" max="4356" width="16.875" style="54" customWidth="1"/>
    <col min="4357" max="4361" width="23.25" style="54" customWidth="1"/>
    <col min="4362" max="4608" width="8.875" style="54"/>
    <col min="4609" max="4609" width="8.75" style="54" customWidth="1"/>
    <col min="4610" max="4610" width="10" style="54" customWidth="1"/>
    <col min="4611" max="4611" width="20.125" style="54" customWidth="1"/>
    <col min="4612" max="4612" width="16.875" style="54" customWidth="1"/>
    <col min="4613" max="4617" width="23.25" style="54" customWidth="1"/>
    <col min="4618" max="4864" width="8.875" style="54"/>
    <col min="4865" max="4865" width="8.75" style="54" customWidth="1"/>
    <col min="4866" max="4866" width="10" style="54" customWidth="1"/>
    <col min="4867" max="4867" width="20.125" style="54" customWidth="1"/>
    <col min="4868" max="4868" width="16.875" style="54" customWidth="1"/>
    <col min="4869" max="4873" width="23.25" style="54" customWidth="1"/>
    <col min="4874" max="5120" width="8.875" style="54"/>
    <col min="5121" max="5121" width="8.75" style="54" customWidth="1"/>
    <col min="5122" max="5122" width="10" style="54" customWidth="1"/>
    <col min="5123" max="5123" width="20.125" style="54" customWidth="1"/>
    <col min="5124" max="5124" width="16.875" style="54" customWidth="1"/>
    <col min="5125" max="5129" width="23.25" style="54" customWidth="1"/>
    <col min="5130" max="5376" width="8.875" style="54"/>
    <col min="5377" max="5377" width="8.75" style="54" customWidth="1"/>
    <col min="5378" max="5378" width="10" style="54" customWidth="1"/>
    <col min="5379" max="5379" width="20.125" style="54" customWidth="1"/>
    <col min="5380" max="5380" width="16.875" style="54" customWidth="1"/>
    <col min="5381" max="5385" width="23.25" style="54" customWidth="1"/>
    <col min="5386" max="5632" width="8.875" style="54"/>
    <col min="5633" max="5633" width="8.75" style="54" customWidth="1"/>
    <col min="5634" max="5634" width="10" style="54" customWidth="1"/>
    <col min="5635" max="5635" width="20.125" style="54" customWidth="1"/>
    <col min="5636" max="5636" width="16.875" style="54" customWidth="1"/>
    <col min="5637" max="5641" width="23.25" style="54" customWidth="1"/>
    <col min="5642" max="5888" width="8.875" style="54"/>
    <col min="5889" max="5889" width="8.75" style="54" customWidth="1"/>
    <col min="5890" max="5890" width="10" style="54" customWidth="1"/>
    <col min="5891" max="5891" width="20.125" style="54" customWidth="1"/>
    <col min="5892" max="5892" width="16.875" style="54" customWidth="1"/>
    <col min="5893" max="5897" width="23.25" style="54" customWidth="1"/>
    <col min="5898" max="6144" width="8.875" style="54"/>
    <col min="6145" max="6145" width="8.75" style="54" customWidth="1"/>
    <col min="6146" max="6146" width="10" style="54" customWidth="1"/>
    <col min="6147" max="6147" width="20.125" style="54" customWidth="1"/>
    <col min="6148" max="6148" width="16.875" style="54" customWidth="1"/>
    <col min="6149" max="6153" width="23.25" style="54" customWidth="1"/>
    <col min="6154" max="6400" width="8.875" style="54"/>
    <col min="6401" max="6401" width="8.75" style="54" customWidth="1"/>
    <col min="6402" max="6402" width="10" style="54" customWidth="1"/>
    <col min="6403" max="6403" width="20.125" style="54" customWidth="1"/>
    <col min="6404" max="6404" width="16.875" style="54" customWidth="1"/>
    <col min="6405" max="6409" width="23.25" style="54" customWidth="1"/>
    <col min="6410" max="6656" width="8.875" style="54"/>
    <col min="6657" max="6657" width="8.75" style="54" customWidth="1"/>
    <col min="6658" max="6658" width="10" style="54" customWidth="1"/>
    <col min="6659" max="6659" width="20.125" style="54" customWidth="1"/>
    <col min="6660" max="6660" width="16.875" style="54" customWidth="1"/>
    <col min="6661" max="6665" width="23.25" style="54" customWidth="1"/>
    <col min="6666" max="6912" width="8.875" style="54"/>
    <col min="6913" max="6913" width="8.75" style="54" customWidth="1"/>
    <col min="6914" max="6914" width="10" style="54" customWidth="1"/>
    <col min="6915" max="6915" width="20.125" style="54" customWidth="1"/>
    <col min="6916" max="6916" width="16.875" style="54" customWidth="1"/>
    <col min="6917" max="6921" width="23.25" style="54" customWidth="1"/>
    <col min="6922" max="7168" width="8.875" style="54"/>
    <col min="7169" max="7169" width="8.75" style="54" customWidth="1"/>
    <col min="7170" max="7170" width="10" style="54" customWidth="1"/>
    <col min="7171" max="7171" width="20.125" style="54" customWidth="1"/>
    <col min="7172" max="7172" width="16.875" style="54" customWidth="1"/>
    <col min="7173" max="7177" width="23.25" style="54" customWidth="1"/>
    <col min="7178" max="7424" width="8.875" style="54"/>
    <col min="7425" max="7425" width="8.75" style="54" customWidth="1"/>
    <col min="7426" max="7426" width="10" style="54" customWidth="1"/>
    <col min="7427" max="7427" width="20.125" style="54" customWidth="1"/>
    <col min="7428" max="7428" width="16.875" style="54" customWidth="1"/>
    <col min="7429" max="7433" width="23.25" style="54" customWidth="1"/>
    <col min="7434" max="7680" width="8.875" style="54"/>
    <col min="7681" max="7681" width="8.75" style="54" customWidth="1"/>
    <col min="7682" max="7682" width="10" style="54" customWidth="1"/>
    <col min="7683" max="7683" width="20.125" style="54" customWidth="1"/>
    <col min="7684" max="7684" width="16.875" style="54" customWidth="1"/>
    <col min="7685" max="7689" width="23.25" style="54" customWidth="1"/>
    <col min="7690" max="7936" width="8.875" style="54"/>
    <col min="7937" max="7937" width="8.75" style="54" customWidth="1"/>
    <col min="7938" max="7938" width="10" style="54" customWidth="1"/>
    <col min="7939" max="7939" width="20.125" style="54" customWidth="1"/>
    <col min="7940" max="7940" width="16.875" style="54" customWidth="1"/>
    <col min="7941" max="7945" width="23.25" style="54" customWidth="1"/>
    <col min="7946" max="8192" width="8.875" style="54"/>
    <col min="8193" max="8193" width="8.75" style="54" customWidth="1"/>
    <col min="8194" max="8194" width="10" style="54" customWidth="1"/>
    <col min="8195" max="8195" width="20.125" style="54" customWidth="1"/>
    <col min="8196" max="8196" width="16.875" style="54" customWidth="1"/>
    <col min="8197" max="8201" width="23.25" style="54" customWidth="1"/>
    <col min="8202" max="8448" width="8.875" style="54"/>
    <col min="8449" max="8449" width="8.75" style="54" customWidth="1"/>
    <col min="8450" max="8450" width="10" style="54" customWidth="1"/>
    <col min="8451" max="8451" width="20.125" style="54" customWidth="1"/>
    <col min="8452" max="8452" width="16.875" style="54" customWidth="1"/>
    <col min="8453" max="8457" width="23.25" style="54" customWidth="1"/>
    <col min="8458" max="8704" width="8.875" style="54"/>
    <col min="8705" max="8705" width="8.75" style="54" customWidth="1"/>
    <col min="8706" max="8706" width="10" style="54" customWidth="1"/>
    <col min="8707" max="8707" width="20.125" style="54" customWidth="1"/>
    <col min="8708" max="8708" width="16.875" style="54" customWidth="1"/>
    <col min="8709" max="8713" width="23.25" style="54" customWidth="1"/>
    <col min="8714" max="8960" width="8.875" style="54"/>
    <col min="8961" max="8961" width="8.75" style="54" customWidth="1"/>
    <col min="8962" max="8962" width="10" style="54" customWidth="1"/>
    <col min="8963" max="8963" width="20.125" style="54" customWidth="1"/>
    <col min="8964" max="8964" width="16.875" style="54" customWidth="1"/>
    <col min="8965" max="8969" width="23.25" style="54" customWidth="1"/>
    <col min="8970" max="9216" width="8.875" style="54"/>
    <col min="9217" max="9217" width="8.75" style="54" customWidth="1"/>
    <col min="9218" max="9218" width="10" style="54" customWidth="1"/>
    <col min="9219" max="9219" width="20.125" style="54" customWidth="1"/>
    <col min="9220" max="9220" width="16.875" style="54" customWidth="1"/>
    <col min="9221" max="9225" width="23.25" style="54" customWidth="1"/>
    <col min="9226" max="9472" width="8.875" style="54"/>
    <col min="9473" max="9473" width="8.75" style="54" customWidth="1"/>
    <col min="9474" max="9474" width="10" style="54" customWidth="1"/>
    <col min="9475" max="9475" width="20.125" style="54" customWidth="1"/>
    <col min="9476" max="9476" width="16.875" style="54" customWidth="1"/>
    <col min="9477" max="9481" width="23.25" style="54" customWidth="1"/>
    <col min="9482" max="9728" width="8.875" style="54"/>
    <col min="9729" max="9729" width="8.75" style="54" customWidth="1"/>
    <col min="9730" max="9730" width="10" style="54" customWidth="1"/>
    <col min="9731" max="9731" width="20.125" style="54" customWidth="1"/>
    <col min="9732" max="9732" width="16.875" style="54" customWidth="1"/>
    <col min="9733" max="9737" width="23.25" style="54" customWidth="1"/>
    <col min="9738" max="9984" width="8.875" style="54"/>
    <col min="9985" max="9985" width="8.75" style="54" customWidth="1"/>
    <col min="9986" max="9986" width="10" style="54" customWidth="1"/>
    <col min="9987" max="9987" width="20.125" style="54" customWidth="1"/>
    <col min="9988" max="9988" width="16.875" style="54" customWidth="1"/>
    <col min="9989" max="9993" width="23.25" style="54" customWidth="1"/>
    <col min="9994" max="10240" width="8.875" style="54"/>
    <col min="10241" max="10241" width="8.75" style="54" customWidth="1"/>
    <col min="10242" max="10242" width="10" style="54" customWidth="1"/>
    <col min="10243" max="10243" width="20.125" style="54" customWidth="1"/>
    <col min="10244" max="10244" width="16.875" style="54" customWidth="1"/>
    <col min="10245" max="10249" width="23.25" style="54" customWidth="1"/>
    <col min="10250" max="10496" width="8.875" style="54"/>
    <col min="10497" max="10497" width="8.75" style="54" customWidth="1"/>
    <col min="10498" max="10498" width="10" style="54" customWidth="1"/>
    <col min="10499" max="10499" width="20.125" style="54" customWidth="1"/>
    <col min="10500" max="10500" width="16.875" style="54" customWidth="1"/>
    <col min="10501" max="10505" width="23.25" style="54" customWidth="1"/>
    <col min="10506" max="10752" width="8.875" style="54"/>
    <col min="10753" max="10753" width="8.75" style="54" customWidth="1"/>
    <col min="10754" max="10754" width="10" style="54" customWidth="1"/>
    <col min="10755" max="10755" width="20.125" style="54" customWidth="1"/>
    <col min="10756" max="10756" width="16.875" style="54" customWidth="1"/>
    <col min="10757" max="10761" width="23.25" style="54" customWidth="1"/>
    <col min="10762" max="11008" width="8.875" style="54"/>
    <col min="11009" max="11009" width="8.75" style="54" customWidth="1"/>
    <col min="11010" max="11010" width="10" style="54" customWidth="1"/>
    <col min="11011" max="11011" width="20.125" style="54" customWidth="1"/>
    <col min="11012" max="11012" width="16.875" style="54" customWidth="1"/>
    <col min="11013" max="11017" width="23.25" style="54" customWidth="1"/>
    <col min="11018" max="11264" width="8.875" style="54"/>
    <col min="11265" max="11265" width="8.75" style="54" customWidth="1"/>
    <col min="11266" max="11266" width="10" style="54" customWidth="1"/>
    <col min="11267" max="11267" width="20.125" style="54" customWidth="1"/>
    <col min="11268" max="11268" width="16.875" style="54" customWidth="1"/>
    <col min="11269" max="11273" width="23.25" style="54" customWidth="1"/>
    <col min="11274" max="11520" width="8.875" style="54"/>
    <col min="11521" max="11521" width="8.75" style="54" customWidth="1"/>
    <col min="11522" max="11522" width="10" style="54" customWidth="1"/>
    <col min="11523" max="11523" width="20.125" style="54" customWidth="1"/>
    <col min="11524" max="11524" width="16.875" style="54" customWidth="1"/>
    <col min="11525" max="11529" width="23.25" style="54" customWidth="1"/>
    <col min="11530" max="11776" width="8.875" style="54"/>
    <col min="11777" max="11777" width="8.75" style="54" customWidth="1"/>
    <col min="11778" max="11778" width="10" style="54" customWidth="1"/>
    <col min="11779" max="11779" width="20.125" style="54" customWidth="1"/>
    <col min="11780" max="11780" width="16.875" style="54" customWidth="1"/>
    <col min="11781" max="11785" width="23.25" style="54" customWidth="1"/>
    <col min="11786" max="12032" width="8.875" style="54"/>
    <col min="12033" max="12033" width="8.75" style="54" customWidth="1"/>
    <col min="12034" max="12034" width="10" style="54" customWidth="1"/>
    <col min="12035" max="12035" width="20.125" style="54" customWidth="1"/>
    <col min="12036" max="12036" width="16.875" style="54" customWidth="1"/>
    <col min="12037" max="12041" width="23.25" style="54" customWidth="1"/>
    <col min="12042" max="12288" width="8.875" style="54"/>
    <col min="12289" max="12289" width="8.75" style="54" customWidth="1"/>
    <col min="12290" max="12290" width="10" style="54" customWidth="1"/>
    <col min="12291" max="12291" width="20.125" style="54" customWidth="1"/>
    <col min="12292" max="12292" width="16.875" style="54" customWidth="1"/>
    <col min="12293" max="12297" width="23.25" style="54" customWidth="1"/>
    <col min="12298" max="12544" width="8.875" style="54"/>
    <col min="12545" max="12545" width="8.75" style="54" customWidth="1"/>
    <col min="12546" max="12546" width="10" style="54" customWidth="1"/>
    <col min="12547" max="12547" width="20.125" style="54" customWidth="1"/>
    <col min="12548" max="12548" width="16.875" style="54" customWidth="1"/>
    <col min="12549" max="12553" width="23.25" style="54" customWidth="1"/>
    <col min="12554" max="12800" width="8.875" style="54"/>
    <col min="12801" max="12801" width="8.75" style="54" customWidth="1"/>
    <col min="12802" max="12802" width="10" style="54" customWidth="1"/>
    <col min="12803" max="12803" width="20.125" style="54" customWidth="1"/>
    <col min="12804" max="12804" width="16.875" style="54" customWidth="1"/>
    <col min="12805" max="12809" width="23.25" style="54" customWidth="1"/>
    <col min="12810" max="13056" width="8.875" style="54"/>
    <col min="13057" max="13057" width="8.75" style="54" customWidth="1"/>
    <col min="13058" max="13058" width="10" style="54" customWidth="1"/>
    <col min="13059" max="13059" width="20.125" style="54" customWidth="1"/>
    <col min="13060" max="13060" width="16.875" style="54" customWidth="1"/>
    <col min="13061" max="13065" width="23.25" style="54" customWidth="1"/>
    <col min="13066" max="13312" width="8.875" style="54"/>
    <col min="13313" max="13313" width="8.75" style="54" customWidth="1"/>
    <col min="13314" max="13314" width="10" style="54" customWidth="1"/>
    <col min="13315" max="13315" width="20.125" style="54" customWidth="1"/>
    <col min="13316" max="13316" width="16.875" style="54" customWidth="1"/>
    <col min="13317" max="13321" width="23.25" style="54" customWidth="1"/>
    <col min="13322" max="13568" width="8.875" style="54"/>
    <col min="13569" max="13569" width="8.75" style="54" customWidth="1"/>
    <col min="13570" max="13570" width="10" style="54" customWidth="1"/>
    <col min="13571" max="13571" width="20.125" style="54" customWidth="1"/>
    <col min="13572" max="13572" width="16.875" style="54" customWidth="1"/>
    <col min="13573" max="13577" width="23.25" style="54" customWidth="1"/>
    <col min="13578" max="13824" width="8.875" style="54"/>
    <col min="13825" max="13825" width="8.75" style="54" customWidth="1"/>
    <col min="13826" max="13826" width="10" style="54" customWidth="1"/>
    <col min="13827" max="13827" width="20.125" style="54" customWidth="1"/>
    <col min="13828" max="13828" width="16.875" style="54" customWidth="1"/>
    <col min="13829" max="13833" width="23.25" style="54" customWidth="1"/>
    <col min="13834" max="14080" width="8.875" style="54"/>
    <col min="14081" max="14081" width="8.75" style="54" customWidth="1"/>
    <col min="14082" max="14082" width="10" style="54" customWidth="1"/>
    <col min="14083" max="14083" width="20.125" style="54" customWidth="1"/>
    <col min="14084" max="14084" width="16.875" style="54" customWidth="1"/>
    <col min="14085" max="14089" width="23.25" style="54" customWidth="1"/>
    <col min="14090" max="14336" width="8.875" style="54"/>
    <col min="14337" max="14337" width="8.75" style="54" customWidth="1"/>
    <col min="14338" max="14338" width="10" style="54" customWidth="1"/>
    <col min="14339" max="14339" width="20.125" style="54" customWidth="1"/>
    <col min="14340" max="14340" width="16.875" style="54" customWidth="1"/>
    <col min="14341" max="14345" width="23.25" style="54" customWidth="1"/>
    <col min="14346" max="14592" width="8.875" style="54"/>
    <col min="14593" max="14593" width="8.75" style="54" customWidth="1"/>
    <col min="14594" max="14594" width="10" style="54" customWidth="1"/>
    <col min="14595" max="14595" width="20.125" style="54" customWidth="1"/>
    <col min="14596" max="14596" width="16.875" style="54" customWidth="1"/>
    <col min="14597" max="14601" width="23.25" style="54" customWidth="1"/>
    <col min="14602" max="14848" width="8.875" style="54"/>
    <col min="14849" max="14849" width="8.75" style="54" customWidth="1"/>
    <col min="14850" max="14850" width="10" style="54" customWidth="1"/>
    <col min="14851" max="14851" width="20.125" style="54" customWidth="1"/>
    <col min="14852" max="14852" width="16.875" style="54" customWidth="1"/>
    <col min="14853" max="14857" width="23.25" style="54" customWidth="1"/>
    <col min="14858" max="15104" width="8.875" style="54"/>
    <col min="15105" max="15105" width="8.75" style="54" customWidth="1"/>
    <col min="15106" max="15106" width="10" style="54" customWidth="1"/>
    <col min="15107" max="15107" width="20.125" style="54" customWidth="1"/>
    <col min="15108" max="15108" width="16.875" style="54" customWidth="1"/>
    <col min="15109" max="15113" width="23.25" style="54" customWidth="1"/>
    <col min="15114" max="15360" width="8.875" style="54"/>
    <col min="15361" max="15361" width="8.75" style="54" customWidth="1"/>
    <col min="15362" max="15362" width="10" style="54" customWidth="1"/>
    <col min="15363" max="15363" width="20.125" style="54" customWidth="1"/>
    <col min="15364" max="15364" width="16.875" style="54" customWidth="1"/>
    <col min="15365" max="15369" width="23.25" style="54" customWidth="1"/>
    <col min="15370" max="15616" width="8.875" style="54"/>
    <col min="15617" max="15617" width="8.75" style="54" customWidth="1"/>
    <col min="15618" max="15618" width="10" style="54" customWidth="1"/>
    <col min="15619" max="15619" width="20.125" style="54" customWidth="1"/>
    <col min="15620" max="15620" width="16.875" style="54" customWidth="1"/>
    <col min="15621" max="15625" width="23.25" style="54" customWidth="1"/>
    <col min="15626" max="15872" width="8.875" style="54"/>
    <col min="15873" max="15873" width="8.75" style="54" customWidth="1"/>
    <col min="15874" max="15874" width="10" style="54" customWidth="1"/>
    <col min="15875" max="15875" width="20.125" style="54" customWidth="1"/>
    <col min="15876" max="15876" width="16.875" style="54" customWidth="1"/>
    <col min="15877" max="15881" width="23.25" style="54" customWidth="1"/>
    <col min="15882" max="16128" width="8.875" style="54"/>
    <col min="16129" max="16129" width="8.75" style="54" customWidth="1"/>
    <col min="16130" max="16130" width="10" style="54" customWidth="1"/>
    <col min="16131" max="16131" width="20.125" style="54" customWidth="1"/>
    <col min="16132" max="16132" width="16.875" style="54" customWidth="1"/>
    <col min="16133" max="16137" width="23.25" style="54" customWidth="1"/>
    <col min="16138" max="16384" width="8.875" style="54"/>
  </cols>
  <sheetData>
    <row r="1" spans="1:10" ht="50.25" customHeight="1" x14ac:dyDescent="0.3">
      <c r="A1" s="60" t="s">
        <v>131</v>
      </c>
      <c r="B1" s="60"/>
      <c r="C1" s="60"/>
      <c r="D1" s="61"/>
      <c r="E1" s="61"/>
      <c r="F1" s="61"/>
      <c r="G1" s="61"/>
      <c r="H1" s="61"/>
      <c r="I1" s="61"/>
      <c r="J1" s="61"/>
    </row>
    <row r="2" spans="1:10" s="55" customFormat="1" ht="14.25" x14ac:dyDescent="0.3">
      <c r="A2" s="63"/>
      <c r="B2" s="63"/>
      <c r="C2" s="63"/>
      <c r="D2" s="63"/>
      <c r="E2" s="63"/>
      <c r="F2" s="63"/>
      <c r="G2" s="63"/>
      <c r="H2" s="63"/>
      <c r="I2" s="64">
        <v>44377</v>
      </c>
      <c r="J2" s="63"/>
    </row>
    <row r="3" spans="1:10" s="56" customFormat="1" ht="52.9" customHeight="1" x14ac:dyDescent="0.3">
      <c r="A3" s="197" t="s">
        <v>132</v>
      </c>
      <c r="B3" s="197"/>
      <c r="C3" s="65" t="s">
        <v>61</v>
      </c>
      <c r="D3" s="65" t="s">
        <v>63</v>
      </c>
      <c r="E3" s="66" t="s">
        <v>70</v>
      </c>
      <c r="F3" s="65" t="s">
        <v>64</v>
      </c>
      <c r="G3" s="66" t="s">
        <v>68</v>
      </c>
      <c r="H3" s="65" t="s">
        <v>69</v>
      </c>
      <c r="I3" s="65" t="s">
        <v>67</v>
      </c>
      <c r="J3" s="67"/>
    </row>
    <row r="4" spans="1:10" s="56" customFormat="1" ht="36" customHeight="1" x14ac:dyDescent="0.3">
      <c r="A4" s="197"/>
      <c r="B4" s="197"/>
      <c r="C4" s="68"/>
      <c r="D4" s="69" t="s">
        <v>171</v>
      </c>
      <c r="E4" s="68"/>
      <c r="F4" s="68" t="s">
        <v>65</v>
      </c>
      <c r="G4" s="68"/>
      <c r="H4" s="70"/>
      <c r="I4" s="68"/>
      <c r="J4" s="67"/>
    </row>
    <row r="5" spans="1:10" s="57" customFormat="1" ht="36" customHeight="1" x14ac:dyDescent="0.3">
      <c r="A5" s="209" t="s">
        <v>131</v>
      </c>
      <c r="B5" s="209"/>
      <c r="C5" s="147">
        <v>100000</v>
      </c>
      <c r="D5" s="147">
        <f>C5/5/12</f>
        <v>1666.6666666666667</v>
      </c>
      <c r="E5" s="147">
        <v>500</v>
      </c>
      <c r="F5" s="147">
        <f t="shared" ref="F5" si="0">D5*0.2</f>
        <v>333.33333333333337</v>
      </c>
      <c r="G5" s="147">
        <f>C10</f>
        <v>70</v>
      </c>
      <c r="H5" s="147">
        <v>500</v>
      </c>
      <c r="I5" s="147">
        <f t="shared" ref="I5" si="1">SUM(D5:H5)</f>
        <v>3070.0000000000005</v>
      </c>
      <c r="J5" s="72"/>
    </row>
    <row r="6" spans="1:10" s="58" customFormat="1" ht="15" x14ac:dyDescent="0.3">
      <c r="A6" s="73"/>
      <c r="B6" s="73"/>
      <c r="C6" s="73"/>
      <c r="D6" s="73"/>
      <c r="E6" s="73"/>
      <c r="F6" s="73"/>
      <c r="G6" s="73"/>
      <c r="H6" s="73"/>
      <c r="I6" s="73"/>
      <c r="J6" s="74"/>
    </row>
    <row r="7" spans="1:10" s="59" customFormat="1" ht="20.100000000000001" customHeight="1" x14ac:dyDescent="0.3">
      <c r="A7" s="95" t="s">
        <v>107</v>
      </c>
      <c r="B7" s="76"/>
      <c r="C7" s="76"/>
      <c r="D7" s="76"/>
    </row>
    <row r="8" spans="1:10" s="59" customFormat="1" ht="20.100000000000001" customHeight="1" x14ac:dyDescent="0.3">
      <c r="A8" s="78" t="s">
        <v>108</v>
      </c>
      <c r="B8" s="78"/>
      <c r="C8" s="78">
        <v>10</v>
      </c>
      <c r="D8" s="78" t="s">
        <v>106</v>
      </c>
    </row>
    <row r="9" spans="1:10" s="59" customFormat="1" ht="20.100000000000001" customHeight="1" x14ac:dyDescent="0.3">
      <c r="A9" s="206" t="s">
        <v>109</v>
      </c>
      <c r="B9" s="206"/>
      <c r="C9" s="147">
        <v>7</v>
      </c>
      <c r="D9" s="78"/>
    </row>
    <row r="10" spans="1:10" s="59" customFormat="1" ht="20.100000000000001" customHeight="1" x14ac:dyDescent="0.3">
      <c r="A10" s="207" t="s">
        <v>110</v>
      </c>
      <c r="B10" s="208"/>
      <c r="C10" s="148">
        <f>C9*C8</f>
        <v>70</v>
      </c>
      <c r="D10" s="94"/>
    </row>
    <row r="11" spans="1:10" s="59" customFormat="1" ht="20.100000000000001" customHeight="1" x14ac:dyDescent="0.3"/>
    <row r="12" spans="1:10" s="59" customFormat="1" ht="46.15" customHeight="1" x14ac:dyDescent="0.3">
      <c r="A12" s="60" t="s">
        <v>138</v>
      </c>
      <c r="B12" s="60"/>
      <c r="C12" s="60"/>
      <c r="D12" s="61"/>
      <c r="E12" s="61"/>
      <c r="F12" s="61"/>
      <c r="G12" s="61"/>
      <c r="H12" s="61"/>
      <c r="I12" s="61"/>
    </row>
    <row r="13" spans="1:10" s="59" customFormat="1" ht="31.9" customHeight="1" x14ac:dyDescent="0.3">
      <c r="A13" s="74" t="s">
        <v>139</v>
      </c>
      <c r="B13" s="62"/>
      <c r="C13" s="62"/>
      <c r="D13" s="63"/>
      <c r="E13" s="63"/>
      <c r="F13" s="63"/>
      <c r="G13" s="63"/>
      <c r="H13" s="63"/>
      <c r="I13" s="63"/>
    </row>
    <row r="14" spans="1:10" s="59" customFormat="1" ht="46.15" customHeight="1" x14ac:dyDescent="0.3">
      <c r="A14" s="203" t="s">
        <v>60</v>
      </c>
      <c r="B14" s="203"/>
      <c r="C14" s="79" t="s">
        <v>75</v>
      </c>
      <c r="D14" s="79" t="s">
        <v>76</v>
      </c>
      <c r="E14" s="80" t="s">
        <v>72</v>
      </c>
    </row>
    <row r="15" spans="1:10" s="59" customFormat="1" ht="54.6" customHeight="1" x14ac:dyDescent="0.3">
      <c r="A15" s="209" t="s">
        <v>133</v>
      </c>
      <c r="B15" s="75" t="s">
        <v>74</v>
      </c>
      <c r="C15" s="71">
        <v>20</v>
      </c>
      <c r="D15" s="71">
        <v>20</v>
      </c>
      <c r="E15" s="78">
        <f>C15*D15</f>
        <v>400</v>
      </c>
    </row>
    <row r="16" spans="1:10" s="59" customFormat="1" ht="49.15" customHeight="1" x14ac:dyDescent="0.3">
      <c r="A16" s="209"/>
      <c r="B16" s="75" t="s">
        <v>77</v>
      </c>
      <c r="C16" s="78">
        <v>8</v>
      </c>
      <c r="D16" s="78">
        <v>4</v>
      </c>
      <c r="E16" s="78">
        <f>C16*D16</f>
        <v>32</v>
      </c>
    </row>
    <row r="17" spans="1:6" s="59" customFormat="1" ht="20.100000000000001" customHeight="1" x14ac:dyDescent="0.3">
      <c r="A17" s="198" t="s">
        <v>73</v>
      </c>
      <c r="B17" s="199"/>
      <c r="C17" s="81">
        <f>SUM(C15:C16)</f>
        <v>28</v>
      </c>
      <c r="D17" s="81">
        <f>SUM(D15:D16)</f>
        <v>24</v>
      </c>
      <c r="E17" s="81">
        <f>SUM(E15:E16)</f>
        <v>432</v>
      </c>
    </row>
    <row r="18" spans="1:6" s="59" customFormat="1" ht="20.100000000000001" customHeight="1" x14ac:dyDescent="0.3"/>
    <row r="19" spans="1:6" s="59" customFormat="1" ht="20.100000000000001" customHeight="1" x14ac:dyDescent="0.3">
      <c r="A19" s="74" t="s">
        <v>79</v>
      </c>
    </row>
    <row r="20" spans="1:6" s="59" customFormat="1" ht="20.100000000000001" customHeight="1" x14ac:dyDescent="0.3">
      <c r="A20" s="183"/>
      <c r="B20" s="183"/>
      <c r="C20" s="81" t="s">
        <v>80</v>
      </c>
      <c r="D20" s="81" t="s">
        <v>81</v>
      </c>
      <c r="E20" s="81"/>
    </row>
    <row r="21" spans="1:6" s="59" customFormat="1" ht="49.9" customHeight="1" x14ac:dyDescent="0.3">
      <c r="A21" s="194" t="s">
        <v>82</v>
      </c>
      <c r="B21" s="195"/>
      <c r="C21" s="82"/>
      <c r="D21" s="147">
        <f>C21/$E$17</f>
        <v>0</v>
      </c>
      <c r="E21" s="78"/>
    </row>
    <row r="22" spans="1:6" s="59" customFormat="1" ht="31.15" customHeight="1" x14ac:dyDescent="0.3">
      <c r="A22" s="196" t="s">
        <v>83</v>
      </c>
      <c r="B22" s="196"/>
      <c r="C22" s="147">
        <f>10*0.1</f>
        <v>1</v>
      </c>
      <c r="D22" s="147">
        <f t="shared" ref="D22:D23" si="2">C22/$E$17</f>
        <v>2.3148148148148147E-3</v>
      </c>
      <c r="E22" s="78" t="s">
        <v>111</v>
      </c>
    </row>
    <row r="23" spans="1:6" s="59" customFormat="1" ht="31.15" customHeight="1" x14ac:dyDescent="0.3">
      <c r="A23" s="195" t="s">
        <v>84</v>
      </c>
      <c r="B23" s="195"/>
      <c r="C23" s="147">
        <v>100</v>
      </c>
      <c r="D23" s="147">
        <f t="shared" si="2"/>
        <v>0.23148148148148148</v>
      </c>
      <c r="E23" s="78"/>
    </row>
    <row r="24" spans="1:6" s="59" customFormat="1" ht="31.15" customHeight="1" x14ac:dyDescent="0.3">
      <c r="A24" s="198" t="s">
        <v>67</v>
      </c>
      <c r="B24" s="199"/>
      <c r="C24" s="149">
        <f>SUM(C21:C23)</f>
        <v>101</v>
      </c>
      <c r="D24" s="149">
        <f>SUM(D21:D23)</f>
        <v>0.23379629629629631</v>
      </c>
      <c r="E24" s="81"/>
    </row>
    <row r="25" spans="1:6" s="59" customFormat="1" ht="20.100000000000001" customHeight="1" x14ac:dyDescent="0.3">
      <c r="A25" s="74"/>
      <c r="B25" s="76"/>
      <c r="C25" s="76"/>
      <c r="D25" s="76"/>
      <c r="E25" s="76"/>
    </row>
    <row r="26" spans="1:6" s="59" customFormat="1" ht="20.100000000000001" customHeight="1" x14ac:dyDescent="0.3">
      <c r="A26" s="74" t="s">
        <v>134</v>
      </c>
    </row>
    <row r="27" spans="1:6" s="59" customFormat="1" ht="50.45" customHeight="1" x14ac:dyDescent="0.3">
      <c r="A27" s="197" t="s">
        <v>60</v>
      </c>
      <c r="B27" s="197"/>
      <c r="C27" s="82" t="s">
        <v>85</v>
      </c>
      <c r="D27" s="83" t="s">
        <v>86</v>
      </c>
      <c r="E27" s="84" t="s">
        <v>87</v>
      </c>
      <c r="F27" s="82" t="s">
        <v>88</v>
      </c>
    </row>
    <row r="28" spans="1:6" s="59" customFormat="1" ht="20.100000000000001" customHeight="1" x14ac:dyDescent="0.3">
      <c r="A28" s="197" t="s">
        <v>133</v>
      </c>
      <c r="B28" s="197"/>
      <c r="C28" s="147">
        <f>D21</f>
        <v>0</v>
      </c>
      <c r="D28" s="147">
        <f>D22</f>
        <v>2.3148148148148147E-3</v>
      </c>
      <c r="E28" s="147">
        <f>D23</f>
        <v>0.23148148148148148</v>
      </c>
      <c r="F28" s="147">
        <f>SUM(C28:E28)</f>
        <v>0.23379629629629631</v>
      </c>
    </row>
    <row r="29" spans="1:6" s="59" customFormat="1" ht="20.100000000000001" customHeight="1" x14ac:dyDescent="0.3"/>
    <row r="30" spans="1:6" s="59" customFormat="1" ht="20.100000000000001" customHeight="1" x14ac:dyDescent="0.3"/>
    <row r="31" spans="1:6" s="59" customFormat="1" ht="49.15" customHeight="1" x14ac:dyDescent="0.3">
      <c r="A31" s="200" t="s">
        <v>90</v>
      </c>
      <c r="B31" s="200"/>
      <c r="C31" s="200"/>
      <c r="D31" s="200"/>
      <c r="E31" s="200"/>
      <c r="F31" s="200"/>
    </row>
    <row r="32" spans="1:6" s="59" customFormat="1" ht="20.100000000000001" customHeight="1" thickBot="1" x14ac:dyDescent="0.35">
      <c r="A32" s="76"/>
      <c r="B32" s="76"/>
      <c r="C32" s="76"/>
      <c r="D32" s="76"/>
      <c r="E32" s="76"/>
    </row>
    <row r="33" spans="1:6" s="59" customFormat="1" ht="20.100000000000001" customHeight="1" x14ac:dyDescent="0.3">
      <c r="A33" s="201" t="s">
        <v>95</v>
      </c>
      <c r="B33" s="202"/>
      <c r="C33" s="87">
        <v>20.6</v>
      </c>
      <c r="D33" s="88" t="s">
        <v>98</v>
      </c>
      <c r="E33" s="188" t="s">
        <v>103</v>
      </c>
      <c r="F33" s="191">
        <f>C33*C34*C35/C36</f>
        <v>401.01333333333338</v>
      </c>
    </row>
    <row r="34" spans="1:6" s="59" customFormat="1" ht="20.100000000000001" customHeight="1" x14ac:dyDescent="0.3">
      <c r="A34" s="184" t="s">
        <v>96</v>
      </c>
      <c r="B34" s="185"/>
      <c r="C34" s="77">
        <v>292</v>
      </c>
      <c r="D34" s="85" t="s">
        <v>97</v>
      </c>
      <c r="E34" s="189"/>
      <c r="F34" s="192"/>
    </row>
    <row r="35" spans="1:6" s="59" customFormat="1" ht="20.100000000000001" customHeight="1" x14ac:dyDescent="0.3">
      <c r="A35" s="184" t="s">
        <v>99</v>
      </c>
      <c r="B35" s="185"/>
      <c r="C35" s="86">
        <v>0.8</v>
      </c>
      <c r="D35" s="85" t="s">
        <v>100</v>
      </c>
      <c r="E35" s="189"/>
      <c r="F35" s="192"/>
    </row>
    <row r="36" spans="1:6" s="59" customFormat="1" ht="20.100000000000001" customHeight="1" thickBot="1" x14ac:dyDescent="0.35">
      <c r="A36" s="186" t="s">
        <v>101</v>
      </c>
      <c r="B36" s="187"/>
      <c r="C36" s="89">
        <v>12</v>
      </c>
      <c r="D36" s="90" t="s">
        <v>102</v>
      </c>
      <c r="E36" s="190"/>
      <c r="F36" s="193"/>
    </row>
    <row r="37" spans="1:6" s="59" customFormat="1" ht="20.100000000000001" customHeight="1" x14ac:dyDescent="0.3"/>
    <row r="38" spans="1:6" s="59" customFormat="1" ht="20.100000000000001" customHeight="1" x14ac:dyDescent="0.3">
      <c r="A38" s="91" t="s">
        <v>91</v>
      </c>
      <c r="B38" s="91" t="s">
        <v>93</v>
      </c>
      <c r="C38" s="91" t="s">
        <v>94</v>
      </c>
      <c r="D38" s="91" t="s">
        <v>105</v>
      </c>
      <c r="E38" s="92" t="s">
        <v>92</v>
      </c>
      <c r="F38" s="93" t="s">
        <v>104</v>
      </c>
    </row>
    <row r="39" spans="1:6" s="59" customFormat="1" ht="20.100000000000001" customHeight="1" x14ac:dyDescent="0.3">
      <c r="A39" s="91" t="s">
        <v>133</v>
      </c>
      <c r="B39" s="150">
        <f>I5</f>
        <v>3070.0000000000005</v>
      </c>
      <c r="C39" s="150">
        <f>F28</f>
        <v>0.23379629629629631</v>
      </c>
      <c r="D39" s="150"/>
      <c r="E39" s="151">
        <f>B39/F33</f>
        <v>7.6556057986434372</v>
      </c>
      <c r="F39" s="152">
        <f>C39+D39+E39</f>
        <v>7.8894020949397339</v>
      </c>
    </row>
    <row r="40" spans="1:6" s="59" customFormat="1" ht="20.100000000000001" customHeight="1" x14ac:dyDescent="0.3"/>
    <row r="41" spans="1:6" s="59" customFormat="1" ht="20.100000000000001" customHeight="1" x14ac:dyDescent="0.3"/>
    <row r="42" spans="1:6" s="59" customFormat="1" ht="20.100000000000001" customHeight="1" x14ac:dyDescent="0.3"/>
    <row r="43" spans="1:6" s="59" customFormat="1" ht="20.100000000000001" customHeight="1" x14ac:dyDescent="0.3"/>
    <row r="44" spans="1:6" s="59" customFormat="1" ht="20.100000000000001" customHeight="1" x14ac:dyDescent="0.3"/>
    <row r="45" spans="1:6" s="59" customFormat="1" ht="20.100000000000001" customHeight="1" x14ac:dyDescent="0.3"/>
    <row r="46" spans="1:6" s="59" customFormat="1" ht="20.100000000000001" customHeight="1" x14ac:dyDescent="0.3"/>
    <row r="47" spans="1:6" s="59" customFormat="1" ht="20.100000000000001" customHeight="1" x14ac:dyDescent="0.3"/>
    <row r="48" spans="1:6" s="59" customFormat="1" ht="20.100000000000001" customHeight="1" x14ac:dyDescent="0.3"/>
    <row r="49" s="59" customFormat="1" ht="20.100000000000001" customHeight="1" x14ac:dyDescent="0.3"/>
    <row r="50" s="59" customFormat="1" ht="20.100000000000001" customHeight="1" x14ac:dyDescent="0.3"/>
    <row r="51" s="59" customFormat="1" ht="20.100000000000001" customHeight="1" x14ac:dyDescent="0.3"/>
    <row r="52" s="59" customFormat="1" ht="20.100000000000001" customHeight="1" x14ac:dyDescent="0.3"/>
    <row r="53" s="59" customFormat="1" ht="20.100000000000001" customHeight="1" x14ac:dyDescent="0.3"/>
    <row r="54" s="59" customFormat="1" ht="20.100000000000001" customHeight="1" x14ac:dyDescent="0.3"/>
    <row r="55" s="59" customFormat="1" ht="20.100000000000001" customHeight="1" x14ac:dyDescent="0.3"/>
    <row r="56" s="59" customFormat="1" ht="20.100000000000001" customHeight="1" x14ac:dyDescent="0.3"/>
    <row r="57" s="59" customFormat="1" ht="20.100000000000001" customHeight="1" x14ac:dyDescent="0.3"/>
    <row r="58" s="59" customFormat="1" ht="20.100000000000001" customHeight="1" x14ac:dyDescent="0.3"/>
    <row r="59" s="59" customFormat="1" ht="20.100000000000001" customHeight="1" x14ac:dyDescent="0.3"/>
    <row r="60" s="59" customFormat="1" ht="20.100000000000001" customHeight="1" x14ac:dyDescent="0.3"/>
    <row r="61" s="59" customFormat="1" ht="20.100000000000001" customHeight="1" x14ac:dyDescent="0.3"/>
    <row r="62" s="59" customFormat="1" ht="20.100000000000001" customHeight="1" x14ac:dyDescent="0.3"/>
    <row r="63" s="59" customFormat="1" ht="20.100000000000001" customHeight="1" x14ac:dyDescent="0.3"/>
    <row r="64" s="59" customFormat="1" ht="20.100000000000001" customHeight="1" x14ac:dyDescent="0.3"/>
    <row r="65" s="59" customFormat="1" ht="20.100000000000001" customHeight="1" x14ac:dyDescent="0.3"/>
    <row r="66" s="59" customFormat="1" ht="20.100000000000001" customHeight="1" x14ac:dyDescent="0.3"/>
    <row r="67" s="59" customFormat="1" ht="20.100000000000001" customHeight="1" x14ac:dyDescent="0.3"/>
    <row r="68" s="59" customFormat="1" ht="20.100000000000001" customHeight="1" x14ac:dyDescent="0.3"/>
    <row r="69" s="59" customFormat="1" ht="20.100000000000001" customHeight="1" x14ac:dyDescent="0.3"/>
    <row r="70" s="59" customFormat="1" ht="20.100000000000001" customHeight="1" x14ac:dyDescent="0.3"/>
    <row r="71" s="59" customFormat="1" ht="20.100000000000001" customHeight="1" x14ac:dyDescent="0.3"/>
    <row r="72" s="59" customFormat="1" ht="20.100000000000001" customHeight="1" x14ac:dyDescent="0.3"/>
    <row r="73" s="59" customFormat="1" ht="20.100000000000001" customHeight="1" x14ac:dyDescent="0.3"/>
    <row r="74" s="59" customFormat="1" ht="20.100000000000001" customHeight="1" x14ac:dyDescent="0.3"/>
    <row r="75" s="59" customFormat="1" ht="20.100000000000001" customHeight="1" x14ac:dyDescent="0.3"/>
    <row r="76" s="59" customFormat="1" ht="20.100000000000001" customHeight="1" x14ac:dyDescent="0.3"/>
    <row r="77" s="59" customFormat="1" ht="20.100000000000001" customHeight="1" x14ac:dyDescent="0.3"/>
    <row r="78" s="59" customFormat="1" ht="20.100000000000001" customHeight="1" x14ac:dyDescent="0.3"/>
    <row r="79" s="59" customFormat="1" ht="20.100000000000001" customHeight="1" x14ac:dyDescent="0.3"/>
    <row r="80" s="59" customFormat="1" ht="20.100000000000001" customHeight="1" x14ac:dyDescent="0.3"/>
    <row r="81" s="59" customFormat="1" ht="20.100000000000001" customHeight="1" x14ac:dyDescent="0.3"/>
    <row r="82" s="59" customFormat="1" ht="20.100000000000001" customHeight="1" x14ac:dyDescent="0.3"/>
    <row r="83" s="59" customFormat="1" ht="20.100000000000001" customHeight="1" x14ac:dyDescent="0.3"/>
    <row r="84" s="59" customFormat="1" ht="20.100000000000001" customHeight="1" x14ac:dyDescent="0.3"/>
    <row r="85" s="59" customFormat="1" ht="20.100000000000001" customHeight="1" x14ac:dyDescent="0.3"/>
    <row r="86" s="59" customFormat="1" ht="20.100000000000001" customHeight="1" x14ac:dyDescent="0.3"/>
    <row r="87" s="59" customFormat="1" ht="20.100000000000001" customHeight="1" x14ac:dyDescent="0.3"/>
    <row r="88" s="59" customFormat="1" ht="20.100000000000001" customHeight="1" x14ac:dyDescent="0.3"/>
    <row r="89" s="59" customFormat="1" ht="20.100000000000001" customHeight="1" x14ac:dyDescent="0.3"/>
    <row r="90" s="59" customFormat="1" ht="20.100000000000001" customHeight="1" x14ac:dyDescent="0.3"/>
    <row r="91" s="59" customFormat="1" ht="20.100000000000001" customHeight="1" x14ac:dyDescent="0.3"/>
    <row r="92" s="59" customFormat="1" ht="20.100000000000001" customHeight="1" x14ac:dyDescent="0.3"/>
    <row r="93" s="59" customFormat="1" ht="20.100000000000001" customHeight="1" x14ac:dyDescent="0.3"/>
    <row r="94" s="59" customFormat="1" ht="20.100000000000001" customHeight="1" x14ac:dyDescent="0.3"/>
    <row r="95" s="59" customFormat="1" ht="20.100000000000001" customHeight="1" x14ac:dyDescent="0.3"/>
    <row r="96" s="59" customFormat="1" ht="20.100000000000001" customHeight="1" x14ac:dyDescent="0.3"/>
    <row r="97" s="59" customFormat="1" ht="20.100000000000001" customHeight="1" x14ac:dyDescent="0.3"/>
    <row r="98" s="59" customFormat="1" ht="20.100000000000001" customHeight="1" x14ac:dyDescent="0.3"/>
    <row r="99" s="59" customFormat="1" ht="20.100000000000001" customHeight="1" x14ac:dyDescent="0.3"/>
    <row r="100" s="59" customFormat="1" ht="20.100000000000001" customHeight="1" x14ac:dyDescent="0.3"/>
    <row r="101" s="59" customFormat="1" ht="20.100000000000001" customHeight="1" x14ac:dyDescent="0.3"/>
    <row r="102" s="59" customFormat="1" ht="20.100000000000001" customHeight="1" x14ac:dyDescent="0.3"/>
    <row r="103" s="59" customFormat="1" ht="20.100000000000001" customHeight="1" x14ac:dyDescent="0.3"/>
    <row r="104" s="59" customFormat="1" ht="20.100000000000001" customHeight="1" x14ac:dyDescent="0.3"/>
    <row r="105" s="59" customFormat="1" ht="20.100000000000001" customHeight="1" x14ac:dyDescent="0.3"/>
    <row r="106" s="59" customFormat="1" ht="20.100000000000001" customHeight="1" x14ac:dyDescent="0.3"/>
    <row r="107" s="59" customFormat="1" ht="20.100000000000001" customHeight="1" x14ac:dyDescent="0.3"/>
    <row r="108" s="59" customFormat="1" ht="20.100000000000001" customHeight="1" x14ac:dyDescent="0.3"/>
    <row r="109" s="59" customFormat="1" ht="20.100000000000001" customHeight="1" x14ac:dyDescent="0.3"/>
    <row r="110" s="59" customFormat="1" ht="20.100000000000001" customHeight="1" x14ac:dyDescent="0.3"/>
    <row r="111" s="59" customFormat="1" ht="20.100000000000001" customHeight="1" x14ac:dyDescent="0.3"/>
    <row r="112" s="59" customFormat="1" ht="20.100000000000001" customHeight="1" x14ac:dyDescent="0.3"/>
    <row r="113" s="59" customFormat="1" ht="20.100000000000001" customHeight="1" x14ac:dyDescent="0.3"/>
    <row r="114" s="59" customFormat="1" ht="20.100000000000001" customHeight="1" x14ac:dyDescent="0.3"/>
    <row r="115" s="59" customFormat="1" ht="20.100000000000001" customHeight="1" x14ac:dyDescent="0.3"/>
    <row r="116" s="59" customFormat="1" ht="20.100000000000001" customHeight="1" x14ac:dyDescent="0.3"/>
    <row r="117" s="59" customFormat="1" ht="20.100000000000001" customHeight="1" x14ac:dyDescent="0.3"/>
    <row r="118" s="59" customFormat="1" ht="20.100000000000001" customHeight="1" x14ac:dyDescent="0.3"/>
    <row r="119" s="59" customFormat="1" ht="20.100000000000001" customHeight="1" x14ac:dyDescent="0.3"/>
    <row r="120" s="59" customFormat="1" ht="20.100000000000001" customHeight="1" x14ac:dyDescent="0.3"/>
    <row r="121" s="59" customFormat="1" ht="20.100000000000001" customHeight="1" x14ac:dyDescent="0.3"/>
    <row r="122" s="59" customFormat="1" ht="20.100000000000001" customHeight="1" x14ac:dyDescent="0.3"/>
    <row r="123" s="59" customFormat="1" ht="20.100000000000001" customHeight="1" x14ac:dyDescent="0.3"/>
    <row r="124" s="59" customFormat="1" ht="20.100000000000001" customHeight="1" x14ac:dyDescent="0.3"/>
    <row r="125" s="59" customFormat="1" ht="20.100000000000001" customHeight="1" x14ac:dyDescent="0.3"/>
    <row r="126" s="59" customFormat="1" ht="20.100000000000001" customHeight="1" x14ac:dyDescent="0.3"/>
    <row r="127" s="59" customFormat="1" ht="20.100000000000001" customHeight="1" x14ac:dyDescent="0.3"/>
    <row r="128" s="59" customFormat="1" ht="20.100000000000001" customHeight="1" x14ac:dyDescent="0.3"/>
    <row r="129" s="59" customFormat="1" ht="20.100000000000001" customHeight="1" x14ac:dyDescent="0.3"/>
    <row r="130" s="59" customFormat="1" ht="20.100000000000001" customHeight="1" x14ac:dyDescent="0.3"/>
    <row r="131" s="59" customFormat="1" ht="20.100000000000001" customHeight="1" x14ac:dyDescent="0.3"/>
    <row r="132" s="59" customFormat="1" ht="20.100000000000001" customHeight="1" x14ac:dyDescent="0.3"/>
    <row r="133" s="59" customFormat="1" ht="20.100000000000001" customHeight="1" x14ac:dyDescent="0.3"/>
    <row r="134" s="59" customFormat="1" ht="20.100000000000001" customHeight="1" x14ac:dyDescent="0.3"/>
    <row r="135" s="59" customFormat="1" ht="20.100000000000001" customHeight="1" x14ac:dyDescent="0.3"/>
    <row r="136" s="59" customFormat="1" ht="20.100000000000001" customHeight="1" x14ac:dyDescent="0.3"/>
    <row r="137" s="59" customFormat="1" ht="20.100000000000001" customHeight="1" x14ac:dyDescent="0.3"/>
    <row r="138" s="59" customFormat="1" ht="20.100000000000001" customHeight="1" x14ac:dyDescent="0.3"/>
    <row r="139" s="59" customFormat="1" ht="20.100000000000001" customHeight="1" x14ac:dyDescent="0.3"/>
    <row r="140" s="59" customFormat="1" ht="20.100000000000001" customHeight="1" x14ac:dyDescent="0.3"/>
    <row r="141" s="59" customFormat="1" ht="20.100000000000001" customHeight="1" x14ac:dyDescent="0.3"/>
    <row r="142" s="59" customFormat="1" ht="20.100000000000001" customHeight="1" x14ac:dyDescent="0.3"/>
    <row r="143" s="59" customFormat="1" ht="20.100000000000001" customHeight="1" x14ac:dyDescent="0.3"/>
    <row r="144" s="59" customFormat="1" ht="20.100000000000001" customHeight="1" x14ac:dyDescent="0.3"/>
    <row r="145" s="59" customFormat="1" ht="20.100000000000001" customHeight="1" x14ac:dyDescent="0.3"/>
    <row r="146" s="59" customFormat="1" ht="20.100000000000001" customHeight="1" x14ac:dyDescent="0.3"/>
    <row r="147" s="59" customFormat="1" ht="20.100000000000001" customHeight="1" x14ac:dyDescent="0.3"/>
    <row r="148" s="59" customFormat="1" ht="20.100000000000001" customHeight="1" x14ac:dyDescent="0.3"/>
    <row r="149" s="59" customFormat="1" ht="20.100000000000001" customHeight="1" x14ac:dyDescent="0.3"/>
    <row r="150" s="59" customFormat="1" ht="20.100000000000001" customHeight="1" x14ac:dyDescent="0.3"/>
    <row r="151" s="59" customFormat="1" ht="20.100000000000001" customHeight="1" x14ac:dyDescent="0.3"/>
    <row r="152" s="59" customFormat="1" ht="20.100000000000001" customHeight="1" x14ac:dyDescent="0.3"/>
    <row r="153" s="59" customFormat="1" ht="20.100000000000001" customHeight="1" x14ac:dyDescent="0.3"/>
    <row r="154" s="59" customFormat="1" ht="20.100000000000001" customHeight="1" x14ac:dyDescent="0.3"/>
    <row r="155" s="59" customFormat="1" ht="20.100000000000001" customHeight="1" x14ac:dyDescent="0.3"/>
    <row r="156" s="59" customFormat="1" ht="20.100000000000001" customHeight="1" x14ac:dyDescent="0.3"/>
    <row r="157" s="59" customFormat="1" ht="20.100000000000001" customHeight="1" x14ac:dyDescent="0.3"/>
    <row r="158" s="59" customFormat="1" ht="20.100000000000001" customHeight="1" x14ac:dyDescent="0.3"/>
    <row r="159" s="59" customFormat="1" ht="20.100000000000001" customHeight="1" x14ac:dyDescent="0.3"/>
    <row r="160" s="59" customFormat="1" ht="20.100000000000001" customHeight="1" x14ac:dyDescent="0.3"/>
    <row r="161" s="59" customFormat="1" ht="20.100000000000001" customHeight="1" x14ac:dyDescent="0.3"/>
    <row r="162" s="59" customFormat="1" ht="20.100000000000001" customHeight="1" x14ac:dyDescent="0.3"/>
    <row r="163" s="59" customFormat="1" ht="20.100000000000001" customHeight="1" x14ac:dyDescent="0.3"/>
    <row r="164" s="59" customFormat="1" ht="20.100000000000001" customHeight="1" x14ac:dyDescent="0.3"/>
    <row r="165" s="59" customFormat="1" ht="20.100000000000001" customHeight="1" x14ac:dyDescent="0.3"/>
    <row r="166" s="59" customFormat="1" ht="20.100000000000001" customHeight="1" x14ac:dyDescent="0.3"/>
    <row r="167" s="59" customFormat="1" ht="20.100000000000001" customHeight="1" x14ac:dyDescent="0.3"/>
    <row r="168" s="59" customFormat="1" ht="20.100000000000001" customHeight="1" x14ac:dyDescent="0.3"/>
    <row r="169" s="59" customFormat="1" ht="20.100000000000001" customHeight="1" x14ac:dyDescent="0.3"/>
    <row r="170" s="59" customFormat="1" ht="20.100000000000001" customHeight="1" x14ac:dyDescent="0.3"/>
    <row r="171" s="59" customFormat="1" ht="20.100000000000001" customHeight="1" x14ac:dyDescent="0.3"/>
    <row r="172" s="59" customFormat="1" ht="20.100000000000001" customHeight="1" x14ac:dyDescent="0.3"/>
    <row r="173" s="59" customFormat="1" ht="20.100000000000001" customHeight="1" x14ac:dyDescent="0.3"/>
    <row r="174" s="59" customFormat="1" ht="20.100000000000001" customHeight="1" x14ac:dyDescent="0.3"/>
    <row r="175" s="59" customFormat="1" ht="20.100000000000001" customHeight="1" x14ac:dyDescent="0.3"/>
    <row r="176" s="59" customFormat="1" ht="20.100000000000001" customHeight="1" x14ac:dyDescent="0.3"/>
    <row r="177" s="59" customFormat="1" ht="20.100000000000001" customHeight="1" x14ac:dyDescent="0.3"/>
    <row r="178" s="59" customFormat="1" ht="20.100000000000001" customHeight="1" x14ac:dyDescent="0.3"/>
    <row r="179" s="59" customFormat="1" ht="20.100000000000001" customHeight="1" x14ac:dyDescent="0.3"/>
    <row r="180" s="59" customFormat="1" ht="20.100000000000001" customHeight="1" x14ac:dyDescent="0.3"/>
    <row r="181" s="59" customFormat="1" ht="20.100000000000001" customHeight="1" x14ac:dyDescent="0.3"/>
    <row r="182" s="59" customFormat="1" ht="20.100000000000001" customHeight="1" x14ac:dyDescent="0.3"/>
    <row r="183" s="59" customFormat="1" ht="20.100000000000001" customHeight="1" x14ac:dyDescent="0.3"/>
    <row r="184" s="59" customFormat="1" ht="20.100000000000001" customHeight="1" x14ac:dyDescent="0.3"/>
    <row r="185" s="59" customFormat="1" ht="20.100000000000001" customHeight="1" x14ac:dyDescent="0.3"/>
    <row r="186" s="59" customFormat="1" ht="20.100000000000001" customHeight="1" x14ac:dyDescent="0.3"/>
    <row r="187" s="59" customFormat="1" ht="20.100000000000001" customHeight="1" x14ac:dyDescent="0.3"/>
    <row r="188" s="59" customFormat="1" ht="20.100000000000001" customHeight="1" x14ac:dyDescent="0.3"/>
    <row r="189" s="59" customFormat="1" ht="20.100000000000001" customHeight="1" x14ac:dyDescent="0.3"/>
    <row r="190" s="59" customFormat="1" ht="20.100000000000001" customHeight="1" x14ac:dyDescent="0.3"/>
    <row r="191" s="59" customFormat="1" ht="20.100000000000001" customHeight="1" x14ac:dyDescent="0.3"/>
    <row r="192" s="59" customFormat="1" ht="20.100000000000001" customHeight="1" x14ac:dyDescent="0.3"/>
    <row r="193" s="59" customFormat="1" ht="20.100000000000001" customHeight="1" x14ac:dyDescent="0.3"/>
    <row r="194" s="59" customFormat="1" ht="20.100000000000001" customHeight="1" x14ac:dyDescent="0.3"/>
    <row r="195" s="59" customFormat="1" ht="20.100000000000001" customHeight="1" x14ac:dyDescent="0.3"/>
    <row r="196" s="59" customFormat="1" ht="20.100000000000001" customHeight="1" x14ac:dyDescent="0.3"/>
    <row r="197" s="59" customFormat="1" ht="20.100000000000001" customHeight="1" x14ac:dyDescent="0.3"/>
    <row r="198" s="59" customFormat="1" ht="20.100000000000001" customHeight="1" x14ac:dyDescent="0.3"/>
    <row r="199" s="59" customFormat="1" ht="20.100000000000001" customHeight="1" x14ac:dyDescent="0.3"/>
    <row r="200" s="59" customFormat="1" ht="20.100000000000001" customHeight="1" x14ac:dyDescent="0.3"/>
    <row r="201" s="59" customFormat="1" ht="20.100000000000001" customHeight="1" x14ac:dyDescent="0.3"/>
    <row r="202" s="59" customFormat="1" ht="20.100000000000001" customHeight="1" x14ac:dyDescent="0.3"/>
    <row r="203" s="59" customFormat="1" ht="20.100000000000001" customHeight="1" x14ac:dyDescent="0.3"/>
    <row r="204" s="59" customFormat="1" ht="20.100000000000001" customHeight="1" x14ac:dyDescent="0.3"/>
    <row r="205" s="59" customFormat="1" ht="20.100000000000001" customHeight="1" x14ac:dyDescent="0.3"/>
    <row r="206" s="59" customFormat="1" ht="20.100000000000001" customHeight="1" x14ac:dyDescent="0.3"/>
    <row r="207" s="59" customFormat="1" ht="20.100000000000001" customHeight="1" x14ac:dyDescent="0.3"/>
    <row r="208" s="59" customFormat="1" ht="20.100000000000001" customHeight="1" x14ac:dyDescent="0.3"/>
    <row r="209" s="59" customFormat="1" ht="20.100000000000001" customHeight="1" x14ac:dyDescent="0.3"/>
    <row r="210" s="59" customFormat="1" ht="20.100000000000001" customHeight="1" x14ac:dyDescent="0.3"/>
    <row r="211" s="59" customFormat="1" ht="20.100000000000001" customHeight="1" x14ac:dyDescent="0.3"/>
    <row r="212" s="59" customFormat="1" ht="20.100000000000001" customHeight="1" x14ac:dyDescent="0.3"/>
    <row r="213" s="59" customFormat="1" ht="20.100000000000001" customHeight="1" x14ac:dyDescent="0.3"/>
    <row r="214" s="59" customFormat="1" ht="20.100000000000001" customHeight="1" x14ac:dyDescent="0.3"/>
    <row r="215" s="59" customFormat="1" ht="20.100000000000001" customHeight="1" x14ac:dyDescent="0.3"/>
    <row r="216" s="59" customFormat="1" ht="20.100000000000001" customHeight="1" x14ac:dyDescent="0.3"/>
    <row r="217" s="59" customFormat="1" ht="20.100000000000001" customHeight="1" x14ac:dyDescent="0.3"/>
    <row r="218" s="59" customFormat="1" ht="20.100000000000001" customHeight="1" x14ac:dyDescent="0.3"/>
    <row r="219" s="59" customFormat="1" ht="20.100000000000001" customHeight="1" x14ac:dyDescent="0.3"/>
    <row r="220" s="59" customFormat="1" ht="20.100000000000001" customHeight="1" x14ac:dyDescent="0.3"/>
    <row r="221" s="59" customFormat="1" ht="20.100000000000001" customHeight="1" x14ac:dyDescent="0.3"/>
    <row r="222" s="59" customFormat="1" ht="20.100000000000001" customHeight="1" x14ac:dyDescent="0.3"/>
    <row r="223" s="59" customFormat="1" ht="20.100000000000001" customHeight="1" x14ac:dyDescent="0.3"/>
    <row r="224" s="59" customFormat="1" ht="20.100000000000001" customHeight="1" x14ac:dyDescent="0.3"/>
    <row r="225" s="59" customFormat="1" ht="20.100000000000001" customHeight="1" x14ac:dyDescent="0.3"/>
    <row r="226" s="59" customFormat="1" ht="20.100000000000001" customHeight="1" x14ac:dyDescent="0.3"/>
    <row r="227" s="59" customFormat="1" ht="20.100000000000001" customHeight="1" x14ac:dyDescent="0.3"/>
    <row r="228" s="59" customFormat="1" ht="20.100000000000001" customHeight="1" x14ac:dyDescent="0.3"/>
    <row r="229" s="59" customFormat="1" ht="20.100000000000001" customHeight="1" x14ac:dyDescent="0.3"/>
    <row r="230" s="59" customFormat="1" ht="20.100000000000001" customHeight="1" x14ac:dyDescent="0.3"/>
    <row r="231" s="59" customFormat="1" ht="20.100000000000001" customHeight="1" x14ac:dyDescent="0.3"/>
    <row r="232" s="59" customFormat="1" ht="20.100000000000001" customHeight="1" x14ac:dyDescent="0.3"/>
    <row r="233" s="59" customFormat="1" ht="20.100000000000001" customHeight="1" x14ac:dyDescent="0.3"/>
    <row r="234" s="59" customFormat="1" ht="20.100000000000001" customHeight="1" x14ac:dyDescent="0.3"/>
    <row r="235" s="59" customFormat="1" ht="20.100000000000001" customHeight="1" x14ac:dyDescent="0.3"/>
    <row r="236" s="59" customFormat="1" ht="20.100000000000001" customHeight="1" x14ac:dyDescent="0.3"/>
    <row r="237" s="59" customFormat="1" ht="20.100000000000001" customHeight="1" x14ac:dyDescent="0.3"/>
    <row r="238" s="59" customFormat="1" ht="20.100000000000001" customHeight="1" x14ac:dyDescent="0.3"/>
    <row r="239" s="59" customFormat="1" ht="20.100000000000001" customHeight="1" x14ac:dyDescent="0.3"/>
    <row r="240" s="59" customFormat="1" ht="20.100000000000001" customHeight="1" x14ac:dyDescent="0.3"/>
    <row r="241" s="59" customFormat="1" ht="20.100000000000001" customHeight="1" x14ac:dyDescent="0.3"/>
    <row r="242" s="59" customFormat="1" ht="20.100000000000001" customHeight="1" x14ac:dyDescent="0.3"/>
    <row r="243" s="59" customFormat="1" ht="20.100000000000001" customHeight="1" x14ac:dyDescent="0.3"/>
    <row r="244" s="59" customFormat="1" ht="20.100000000000001" customHeight="1" x14ac:dyDescent="0.3"/>
    <row r="245" s="59" customFormat="1" ht="20.100000000000001" customHeight="1" x14ac:dyDescent="0.3"/>
    <row r="246" s="59" customFormat="1" ht="20.100000000000001" customHeight="1" x14ac:dyDescent="0.3"/>
    <row r="247" s="59" customFormat="1" ht="20.100000000000001" customHeight="1" x14ac:dyDescent="0.3"/>
    <row r="248" s="59" customFormat="1" ht="20.100000000000001" customHeight="1" x14ac:dyDescent="0.3"/>
    <row r="249" s="59" customFormat="1" ht="20.100000000000001" customHeight="1" x14ac:dyDescent="0.3"/>
    <row r="250" s="59" customFormat="1" ht="20.100000000000001" customHeight="1" x14ac:dyDescent="0.3"/>
    <row r="251" s="59" customFormat="1" ht="20.100000000000001" customHeight="1" x14ac:dyDescent="0.3"/>
    <row r="252" s="59" customFormat="1" ht="20.100000000000001" customHeight="1" x14ac:dyDescent="0.3"/>
    <row r="253" s="59" customFormat="1" ht="20.100000000000001" customHeight="1" x14ac:dyDescent="0.3"/>
    <row r="254" s="59" customFormat="1" ht="20.100000000000001" customHeight="1" x14ac:dyDescent="0.3"/>
    <row r="255" s="59" customFormat="1" ht="20.100000000000001" customHeight="1" x14ac:dyDescent="0.3"/>
    <row r="256" s="59" customFormat="1" ht="14.25" x14ac:dyDescent="0.3"/>
    <row r="257" s="59" customFormat="1" ht="14.25" x14ac:dyDescent="0.3"/>
    <row r="258" s="59" customFormat="1" ht="14.25" x14ac:dyDescent="0.3"/>
    <row r="259" s="59" customFormat="1" ht="14.25" x14ac:dyDescent="0.3"/>
    <row r="260" s="59" customFormat="1" ht="14.25" x14ac:dyDescent="0.3"/>
    <row r="261" s="59" customFormat="1" ht="14.25" x14ac:dyDescent="0.3"/>
    <row r="262" s="59" customFormat="1" ht="14.25" x14ac:dyDescent="0.3"/>
    <row r="263" s="59" customFormat="1" ht="14.25" x14ac:dyDescent="0.3"/>
    <row r="264" s="59" customFormat="1" ht="14.25" x14ac:dyDescent="0.3"/>
    <row r="265" s="59" customFormat="1" ht="14.25" x14ac:dyDescent="0.3"/>
    <row r="266" s="59" customFormat="1" ht="14.25" x14ac:dyDescent="0.3"/>
    <row r="267" s="59" customFormat="1" ht="14.25" x14ac:dyDescent="0.3"/>
    <row r="268" s="59" customFormat="1" ht="14.25" x14ac:dyDescent="0.3"/>
    <row r="269" s="59" customFormat="1" ht="14.25" x14ac:dyDescent="0.3"/>
    <row r="270" s="59" customFormat="1" ht="14.25" x14ac:dyDescent="0.3"/>
    <row r="271" s="59" customFormat="1" ht="14.25" x14ac:dyDescent="0.3"/>
    <row r="272" s="59" customFormat="1" ht="14.25" x14ac:dyDescent="0.3"/>
    <row r="273" s="59" customFormat="1" ht="14.25" x14ac:dyDescent="0.3"/>
    <row r="274" s="59" customFormat="1" ht="14.25" x14ac:dyDescent="0.3"/>
    <row r="275" s="59" customFormat="1" ht="14.25" x14ac:dyDescent="0.3"/>
    <row r="276" s="59" customFormat="1" ht="14.25" x14ac:dyDescent="0.3"/>
    <row r="277" s="59" customFormat="1" ht="14.25" x14ac:dyDescent="0.3"/>
    <row r="278" s="59" customFormat="1" ht="14.25" x14ac:dyDescent="0.3"/>
    <row r="279" s="59" customFormat="1" ht="14.25" x14ac:dyDescent="0.3"/>
    <row r="280" s="59" customFormat="1" ht="14.25" x14ac:dyDescent="0.3"/>
    <row r="281" s="59" customFormat="1" ht="14.25" x14ac:dyDescent="0.3"/>
    <row r="282" s="59" customFormat="1" ht="14.25" x14ac:dyDescent="0.3"/>
    <row r="283" s="59" customFormat="1" ht="14.25" x14ac:dyDescent="0.3"/>
    <row r="284" s="59" customFormat="1" ht="14.25" x14ac:dyDescent="0.3"/>
    <row r="285" s="59" customFormat="1" ht="14.25" x14ac:dyDescent="0.3"/>
    <row r="286" s="59" customFormat="1" ht="14.25" x14ac:dyDescent="0.3"/>
    <row r="287" s="59" customFormat="1" ht="14.25" x14ac:dyDescent="0.3"/>
    <row r="288" s="59" customFormat="1" ht="14.25" x14ac:dyDescent="0.3"/>
    <row r="289" s="59" customFormat="1" ht="14.25" x14ac:dyDescent="0.3"/>
    <row r="290" s="59" customFormat="1" ht="14.25" x14ac:dyDescent="0.3"/>
    <row r="291" s="59" customFormat="1" ht="14.25" x14ac:dyDescent="0.3"/>
    <row r="292" s="59" customFormat="1" ht="14.25" x14ac:dyDescent="0.3"/>
    <row r="293" s="59" customFormat="1" ht="14.25" x14ac:dyDescent="0.3"/>
    <row r="294" s="59" customFormat="1" ht="14.25" x14ac:dyDescent="0.3"/>
    <row r="295" s="59" customFormat="1" ht="14.25" x14ac:dyDescent="0.3"/>
    <row r="296" s="59" customFormat="1" ht="14.25" x14ac:dyDescent="0.3"/>
    <row r="297" s="59" customFormat="1" ht="14.25" x14ac:dyDescent="0.3"/>
    <row r="298" s="59" customFormat="1" ht="14.25" x14ac:dyDescent="0.3"/>
    <row r="299" s="59" customFormat="1" ht="14.25" x14ac:dyDescent="0.3"/>
    <row r="300" s="59" customFormat="1" ht="14.25" x14ac:dyDescent="0.3"/>
    <row r="301" s="59" customFormat="1" ht="14.25" x14ac:dyDescent="0.3"/>
    <row r="302" s="59" customFormat="1" ht="14.25" x14ac:dyDescent="0.3"/>
    <row r="303" s="59" customFormat="1" ht="14.25" x14ac:dyDescent="0.3"/>
    <row r="304" s="59" customFormat="1" ht="14.25" x14ac:dyDescent="0.3"/>
    <row r="305" s="59" customFormat="1" ht="14.25" x14ac:dyDescent="0.3"/>
    <row r="306" s="59" customFormat="1" ht="14.25" x14ac:dyDescent="0.3"/>
    <row r="307" s="59" customFormat="1" ht="14.25" x14ac:dyDescent="0.3"/>
    <row r="308" s="59" customFormat="1" ht="14.25" x14ac:dyDescent="0.3"/>
    <row r="309" s="59" customFormat="1" ht="14.25" x14ac:dyDescent="0.3"/>
    <row r="310" s="59" customFormat="1" ht="14.25" x14ac:dyDescent="0.3"/>
    <row r="311" s="59" customFormat="1" ht="14.25" x14ac:dyDescent="0.3"/>
    <row r="312" s="59" customFormat="1" ht="14.25" x14ac:dyDescent="0.3"/>
    <row r="313" s="59" customFormat="1" ht="14.25" x14ac:dyDescent="0.3"/>
    <row r="314" s="59" customFormat="1" ht="14.25" x14ac:dyDescent="0.3"/>
    <row r="315" s="59" customFormat="1" ht="14.25" x14ac:dyDescent="0.3"/>
    <row r="316" s="59" customFormat="1" ht="14.25" x14ac:dyDescent="0.3"/>
    <row r="317" s="59" customFormat="1" ht="14.25" x14ac:dyDescent="0.3"/>
    <row r="318" s="59" customFormat="1" ht="14.25" x14ac:dyDescent="0.3"/>
    <row r="319" s="59" customFormat="1" ht="14.25" x14ac:dyDescent="0.3"/>
    <row r="320" s="59" customFormat="1" ht="14.25" x14ac:dyDescent="0.3"/>
    <row r="321" s="59" customFormat="1" ht="14.25" x14ac:dyDescent="0.3"/>
    <row r="322" s="59" customFormat="1" ht="14.25" x14ac:dyDescent="0.3"/>
    <row r="323" s="59" customFormat="1" ht="14.25" x14ac:dyDescent="0.3"/>
    <row r="324" s="59" customFormat="1" ht="14.25" x14ac:dyDescent="0.3"/>
    <row r="325" s="59" customFormat="1" ht="14.25" x14ac:dyDescent="0.3"/>
    <row r="326" s="59" customFormat="1" ht="14.25" x14ac:dyDescent="0.3"/>
    <row r="327" s="59" customFormat="1" ht="14.25" x14ac:dyDescent="0.3"/>
    <row r="328" s="59" customFormat="1" ht="14.25" x14ac:dyDescent="0.3"/>
    <row r="329" s="59" customFormat="1" ht="14.25" x14ac:dyDescent="0.3"/>
    <row r="330" s="59" customFormat="1" ht="14.25" x14ac:dyDescent="0.3"/>
    <row r="331" s="59" customFormat="1" ht="14.25" x14ac:dyDescent="0.3"/>
    <row r="332" s="59" customFormat="1" ht="14.25" x14ac:dyDescent="0.3"/>
    <row r="333" s="59" customFormat="1" ht="14.25" x14ac:dyDescent="0.3"/>
    <row r="334" s="59" customFormat="1" ht="14.25" x14ac:dyDescent="0.3"/>
    <row r="335" s="59" customFormat="1" ht="14.25" x14ac:dyDescent="0.3"/>
    <row r="336" s="59" customFormat="1" ht="14.25" x14ac:dyDescent="0.3"/>
    <row r="337" s="59" customFormat="1" ht="14.25" x14ac:dyDescent="0.3"/>
    <row r="338" s="59" customFormat="1" ht="14.25" x14ac:dyDescent="0.3"/>
    <row r="339" s="59" customFormat="1" ht="14.25" x14ac:dyDescent="0.3"/>
    <row r="340" s="59" customFormat="1" ht="14.25" x14ac:dyDescent="0.3"/>
    <row r="341" s="59" customFormat="1" ht="14.25" x14ac:dyDescent="0.3"/>
    <row r="342" s="59" customFormat="1" ht="14.25" x14ac:dyDescent="0.3"/>
    <row r="343" s="59" customFormat="1" ht="14.25" x14ac:dyDescent="0.3"/>
    <row r="344" s="59" customFormat="1" ht="14.25" x14ac:dyDescent="0.3"/>
    <row r="345" s="59" customFormat="1" ht="14.25" x14ac:dyDescent="0.3"/>
    <row r="346" s="59" customFormat="1" ht="14.25" x14ac:dyDescent="0.3"/>
    <row r="347" s="59" customFormat="1" ht="14.25" x14ac:dyDescent="0.3"/>
    <row r="348" s="59" customFormat="1" ht="14.25" x14ac:dyDescent="0.3"/>
    <row r="349" s="59" customFormat="1" ht="14.25" x14ac:dyDescent="0.3"/>
    <row r="350" s="59" customFormat="1" ht="14.25" x14ac:dyDescent="0.3"/>
    <row r="351" s="59" customFormat="1" ht="14.25" x14ac:dyDescent="0.3"/>
    <row r="352" s="59" customFormat="1" ht="14.25" x14ac:dyDescent="0.3"/>
    <row r="353" s="59" customFormat="1" ht="14.25" x14ac:dyDescent="0.3"/>
    <row r="354" s="59" customFormat="1" ht="14.25" x14ac:dyDescent="0.3"/>
    <row r="355" s="59" customFormat="1" ht="14.25" x14ac:dyDescent="0.3"/>
    <row r="356" s="59" customFormat="1" ht="14.25" x14ac:dyDescent="0.3"/>
    <row r="357" s="59" customFormat="1" ht="14.25" x14ac:dyDescent="0.3"/>
    <row r="358" s="59" customFormat="1" ht="14.25" x14ac:dyDescent="0.3"/>
    <row r="359" s="59" customFormat="1" ht="14.25" x14ac:dyDescent="0.3"/>
    <row r="360" s="59" customFormat="1" ht="14.25" x14ac:dyDescent="0.3"/>
    <row r="361" s="59" customFormat="1" ht="14.25" x14ac:dyDescent="0.3"/>
    <row r="362" s="59" customFormat="1" ht="14.25" x14ac:dyDescent="0.3"/>
    <row r="363" s="59" customFormat="1" ht="14.25" x14ac:dyDescent="0.3"/>
    <row r="364" s="59" customFormat="1" ht="14.25" x14ac:dyDescent="0.3"/>
    <row r="365" s="59" customFormat="1" ht="14.25" x14ac:dyDescent="0.3"/>
    <row r="366" s="59" customFormat="1" ht="14.25" x14ac:dyDescent="0.3"/>
    <row r="367" s="59" customFormat="1" ht="14.25" x14ac:dyDescent="0.3"/>
    <row r="368" s="59" customFormat="1" ht="14.25" x14ac:dyDescent="0.3"/>
    <row r="369" s="59" customFormat="1" ht="14.25" x14ac:dyDescent="0.3"/>
    <row r="370" s="59" customFormat="1" ht="14.25" x14ac:dyDescent="0.3"/>
    <row r="371" s="59" customFormat="1" ht="14.25" x14ac:dyDescent="0.3"/>
    <row r="372" s="59" customFormat="1" ht="14.25" x14ac:dyDescent="0.3"/>
    <row r="373" s="59" customFormat="1" ht="14.25" x14ac:dyDescent="0.3"/>
    <row r="374" s="59" customFormat="1" ht="14.25" x14ac:dyDescent="0.3"/>
    <row r="375" s="59" customFormat="1" ht="14.25" x14ac:dyDescent="0.3"/>
    <row r="376" s="59" customFormat="1" ht="14.25" x14ac:dyDescent="0.3"/>
    <row r="377" s="59" customFormat="1" ht="14.25" x14ac:dyDescent="0.3"/>
    <row r="378" s="59" customFormat="1" ht="14.25" x14ac:dyDescent="0.3"/>
    <row r="379" s="59" customFormat="1" ht="14.25" x14ac:dyDescent="0.3"/>
    <row r="380" s="59" customFormat="1" ht="14.25" x14ac:dyDescent="0.3"/>
    <row r="381" s="59" customFormat="1" ht="14.25" x14ac:dyDescent="0.3"/>
    <row r="382" s="59" customFormat="1" ht="14.25" x14ac:dyDescent="0.3"/>
    <row r="383" s="59" customFormat="1" ht="14.25" x14ac:dyDescent="0.3"/>
    <row r="384" s="59" customFormat="1" ht="14.25" x14ac:dyDescent="0.3"/>
    <row r="385" s="59" customFormat="1" ht="14.25" x14ac:dyDescent="0.3"/>
    <row r="386" s="59" customFormat="1" ht="14.25" x14ac:dyDescent="0.3"/>
    <row r="387" s="59" customFormat="1" ht="14.25" x14ac:dyDescent="0.3"/>
    <row r="388" s="59" customFormat="1" ht="14.25" x14ac:dyDescent="0.3"/>
    <row r="389" s="59" customFormat="1" ht="14.25" x14ac:dyDescent="0.3"/>
    <row r="390" s="59" customFormat="1" ht="14.25" x14ac:dyDescent="0.3"/>
    <row r="391" s="59" customFormat="1" ht="14.25" x14ac:dyDescent="0.3"/>
    <row r="392" s="59" customFormat="1" ht="14.25" x14ac:dyDescent="0.3"/>
    <row r="393" s="59" customFormat="1" ht="14.25" x14ac:dyDescent="0.3"/>
    <row r="394" s="59" customFormat="1" ht="14.25" x14ac:dyDescent="0.3"/>
    <row r="395" s="59" customFormat="1" ht="14.25" x14ac:dyDescent="0.3"/>
    <row r="396" s="59" customFormat="1" ht="14.25" x14ac:dyDescent="0.3"/>
    <row r="397" s="59" customFormat="1" ht="14.25" x14ac:dyDescent="0.3"/>
    <row r="398" s="59" customFormat="1" ht="14.25" x14ac:dyDescent="0.3"/>
    <row r="399" s="59" customFormat="1" ht="14.25" x14ac:dyDescent="0.3"/>
    <row r="400" s="59" customFormat="1" ht="14.25" x14ac:dyDescent="0.3"/>
    <row r="401" s="59" customFormat="1" ht="14.25" x14ac:dyDescent="0.3"/>
    <row r="402" s="59" customFormat="1" ht="14.25" x14ac:dyDescent="0.3"/>
    <row r="403" s="59" customFormat="1" ht="14.25" x14ac:dyDescent="0.3"/>
    <row r="404" s="59" customFormat="1" ht="14.25" x14ac:dyDescent="0.3"/>
    <row r="405" s="59" customFormat="1" ht="14.25" x14ac:dyDescent="0.3"/>
    <row r="406" s="59" customFormat="1" ht="14.25" x14ac:dyDescent="0.3"/>
    <row r="407" s="59" customFormat="1" ht="14.25" x14ac:dyDescent="0.3"/>
    <row r="408" s="59" customFormat="1" ht="14.25" x14ac:dyDescent="0.3"/>
    <row r="409" s="59" customFormat="1" ht="14.25" x14ac:dyDescent="0.3"/>
    <row r="410" s="59" customFormat="1" ht="14.25" x14ac:dyDescent="0.3"/>
    <row r="411" s="59" customFormat="1" ht="14.25" x14ac:dyDescent="0.3"/>
    <row r="412" s="59" customFormat="1" ht="14.25" x14ac:dyDescent="0.3"/>
    <row r="413" s="59" customFormat="1" ht="14.25" x14ac:dyDescent="0.3"/>
    <row r="414" s="59" customFormat="1" ht="14.25" x14ac:dyDescent="0.3"/>
    <row r="415" s="59" customFormat="1" ht="14.25" x14ac:dyDescent="0.3"/>
    <row r="416" s="59" customFormat="1" ht="14.25" x14ac:dyDescent="0.3"/>
    <row r="417" s="59" customFormat="1" ht="14.25" x14ac:dyDescent="0.3"/>
    <row r="418" s="59" customFormat="1" ht="14.25" x14ac:dyDescent="0.3"/>
    <row r="419" s="59" customFormat="1" ht="14.25" x14ac:dyDescent="0.3"/>
    <row r="420" s="59" customFormat="1" ht="14.25" x14ac:dyDescent="0.3"/>
    <row r="421" s="59" customFormat="1" ht="14.25" x14ac:dyDescent="0.3"/>
    <row r="422" s="59" customFormat="1" ht="14.25" x14ac:dyDescent="0.3"/>
    <row r="423" s="59" customFormat="1" ht="14.25" x14ac:dyDescent="0.3"/>
    <row r="424" s="59" customFormat="1" ht="14.25" x14ac:dyDescent="0.3"/>
    <row r="425" s="59" customFormat="1" ht="14.25" x14ac:dyDescent="0.3"/>
    <row r="426" s="59" customFormat="1" ht="14.25" x14ac:dyDescent="0.3"/>
    <row r="427" s="59" customFormat="1" ht="14.25" x14ac:dyDescent="0.3"/>
    <row r="428" s="59" customFormat="1" ht="14.25" x14ac:dyDescent="0.3"/>
    <row r="429" s="59" customFormat="1" ht="14.25" x14ac:dyDescent="0.3"/>
    <row r="430" s="59" customFormat="1" ht="14.25" x14ac:dyDescent="0.3"/>
    <row r="431" s="59" customFormat="1" ht="14.25" x14ac:dyDescent="0.3"/>
    <row r="432" s="59" customFormat="1" ht="14.25" x14ac:dyDescent="0.3"/>
    <row r="433" s="59" customFormat="1" ht="14.25" x14ac:dyDescent="0.3"/>
    <row r="434" s="59" customFormat="1" ht="14.25" x14ac:dyDescent="0.3"/>
    <row r="435" s="59" customFormat="1" ht="14.25" x14ac:dyDescent="0.3"/>
    <row r="436" s="59" customFormat="1" ht="14.25" x14ac:dyDescent="0.3"/>
    <row r="437" s="59" customFormat="1" ht="14.25" x14ac:dyDescent="0.3"/>
    <row r="438" s="59" customFormat="1" ht="14.25" x14ac:dyDescent="0.3"/>
    <row r="439" s="59" customFormat="1" ht="14.25" x14ac:dyDescent="0.3"/>
    <row r="440" s="59" customFormat="1" ht="14.25" x14ac:dyDescent="0.3"/>
    <row r="441" s="59" customFormat="1" ht="14.25" x14ac:dyDescent="0.3"/>
    <row r="442" s="59" customFormat="1" ht="14.25" x14ac:dyDescent="0.3"/>
    <row r="443" s="59" customFormat="1" ht="14.25" x14ac:dyDescent="0.3"/>
    <row r="444" s="59" customFormat="1" ht="14.25" x14ac:dyDescent="0.3"/>
    <row r="445" s="59" customFormat="1" ht="14.25" x14ac:dyDescent="0.3"/>
    <row r="446" s="59" customFormat="1" ht="14.25" x14ac:dyDescent="0.3"/>
    <row r="447" s="59" customFormat="1" ht="14.25" x14ac:dyDescent="0.3"/>
    <row r="448" s="59" customFormat="1" ht="14.25" x14ac:dyDescent="0.3"/>
    <row r="449" s="59" customFormat="1" ht="14.25" x14ac:dyDescent="0.3"/>
    <row r="450" s="59" customFormat="1" ht="14.25" x14ac:dyDescent="0.3"/>
    <row r="451" s="59" customFormat="1" ht="14.25" x14ac:dyDescent="0.3"/>
    <row r="452" s="59" customFormat="1" ht="14.25" x14ac:dyDescent="0.3"/>
    <row r="453" s="59" customFormat="1" ht="14.25" x14ac:dyDescent="0.3"/>
    <row r="454" s="59" customFormat="1" ht="14.25" x14ac:dyDescent="0.3"/>
    <row r="455" s="59" customFormat="1" ht="14.25" x14ac:dyDescent="0.3"/>
    <row r="456" s="59" customFormat="1" ht="14.25" x14ac:dyDescent="0.3"/>
    <row r="457" s="59" customFormat="1" ht="14.25" x14ac:dyDescent="0.3"/>
    <row r="458" s="59" customFormat="1" ht="14.25" x14ac:dyDescent="0.3"/>
    <row r="459" s="59" customFormat="1" ht="14.25" x14ac:dyDescent="0.3"/>
    <row r="460" s="59" customFormat="1" ht="14.25" x14ac:dyDescent="0.3"/>
    <row r="461" s="59" customFormat="1" ht="14.25" x14ac:dyDescent="0.3"/>
    <row r="462" s="59" customFormat="1" ht="14.25" x14ac:dyDescent="0.3"/>
    <row r="463" s="59" customFormat="1" ht="14.25" x14ac:dyDescent="0.3"/>
    <row r="464" s="59" customFormat="1" ht="14.25" x14ac:dyDescent="0.3"/>
    <row r="465" s="59" customFormat="1" ht="14.25" x14ac:dyDescent="0.3"/>
    <row r="466" s="59" customFormat="1" ht="14.25" x14ac:dyDescent="0.3"/>
    <row r="467" s="59" customFormat="1" ht="14.25" x14ac:dyDescent="0.3"/>
    <row r="468" s="59" customFormat="1" ht="14.25" x14ac:dyDescent="0.3"/>
    <row r="469" s="59" customFormat="1" ht="14.25" x14ac:dyDescent="0.3"/>
    <row r="470" s="59" customFormat="1" ht="14.25" x14ac:dyDescent="0.3"/>
    <row r="471" s="59" customFormat="1" ht="14.25" x14ac:dyDescent="0.3"/>
    <row r="472" s="59" customFormat="1" ht="14.25" x14ac:dyDescent="0.3"/>
    <row r="473" s="59" customFormat="1" ht="14.25" x14ac:dyDescent="0.3"/>
    <row r="474" s="59" customFormat="1" ht="14.25" x14ac:dyDescent="0.3"/>
    <row r="475" s="59" customFormat="1" ht="14.25" x14ac:dyDescent="0.3"/>
    <row r="476" s="59" customFormat="1" ht="14.25" x14ac:dyDescent="0.3"/>
    <row r="477" s="59" customFormat="1" ht="14.25" x14ac:dyDescent="0.3"/>
    <row r="478" s="59" customFormat="1" ht="14.25" x14ac:dyDescent="0.3"/>
    <row r="479" s="59" customFormat="1" ht="14.25" x14ac:dyDescent="0.3"/>
    <row r="480" s="59" customFormat="1" ht="14.25" x14ac:dyDescent="0.3"/>
    <row r="481" s="59" customFormat="1" ht="14.25" x14ac:dyDescent="0.3"/>
    <row r="482" s="59" customFormat="1" ht="14.25" x14ac:dyDescent="0.3"/>
    <row r="483" s="59" customFormat="1" ht="14.25" x14ac:dyDescent="0.3"/>
    <row r="484" s="59" customFormat="1" ht="14.25" x14ac:dyDescent="0.3"/>
    <row r="485" s="59" customFormat="1" ht="14.25" x14ac:dyDescent="0.3"/>
    <row r="486" s="59" customFormat="1" ht="14.25" x14ac:dyDescent="0.3"/>
    <row r="487" s="59" customFormat="1" ht="14.25" x14ac:dyDescent="0.3"/>
    <row r="488" s="59" customFormat="1" ht="14.25" x14ac:dyDescent="0.3"/>
    <row r="489" s="59" customFormat="1" ht="14.25" x14ac:dyDescent="0.3"/>
    <row r="490" s="59" customFormat="1" ht="14.25" x14ac:dyDescent="0.3"/>
    <row r="491" s="59" customFormat="1" ht="14.25" x14ac:dyDescent="0.3"/>
    <row r="492" s="59" customFormat="1" ht="14.25" x14ac:dyDescent="0.3"/>
    <row r="493" s="59" customFormat="1" ht="14.25" x14ac:dyDescent="0.3"/>
    <row r="494" s="59" customFormat="1" ht="14.25" x14ac:dyDescent="0.3"/>
    <row r="495" s="59" customFormat="1" ht="14.25" x14ac:dyDescent="0.3"/>
    <row r="496" s="59" customFormat="1" ht="14.25" x14ac:dyDescent="0.3"/>
    <row r="497" s="59" customFormat="1" ht="14.25" x14ac:dyDescent="0.3"/>
    <row r="498" s="59" customFormat="1" ht="14.25" x14ac:dyDescent="0.3"/>
    <row r="499" s="59" customFormat="1" ht="14.25" x14ac:dyDescent="0.3"/>
    <row r="500" s="59" customFormat="1" ht="14.25" x14ac:dyDescent="0.3"/>
    <row r="501" s="59" customFormat="1" ht="14.25" x14ac:dyDescent="0.3"/>
    <row r="502" s="59" customFormat="1" ht="14.25" x14ac:dyDescent="0.3"/>
    <row r="503" s="59" customFormat="1" ht="14.25" x14ac:dyDescent="0.3"/>
    <row r="504" s="59" customFormat="1" ht="14.25" x14ac:dyDescent="0.3"/>
    <row r="505" s="59" customFormat="1" ht="14.25" x14ac:dyDescent="0.3"/>
    <row r="506" s="59" customFormat="1" ht="14.25" x14ac:dyDescent="0.3"/>
    <row r="507" s="59" customFormat="1" ht="14.25" x14ac:dyDescent="0.3"/>
    <row r="508" s="59" customFormat="1" ht="14.25" x14ac:dyDescent="0.3"/>
    <row r="509" s="59" customFormat="1" ht="14.25" x14ac:dyDescent="0.3"/>
    <row r="510" s="59" customFormat="1" ht="14.25" x14ac:dyDescent="0.3"/>
    <row r="511" s="59" customFormat="1" ht="14.25" x14ac:dyDescent="0.3"/>
    <row r="512" s="59" customFormat="1" ht="14.25" x14ac:dyDescent="0.3"/>
    <row r="513" s="59" customFormat="1" ht="14.25" x14ac:dyDescent="0.3"/>
    <row r="514" s="59" customFormat="1" ht="14.25" x14ac:dyDescent="0.3"/>
    <row r="515" s="59" customFormat="1" ht="14.25" x14ac:dyDescent="0.3"/>
    <row r="516" s="59" customFormat="1" ht="14.25" x14ac:dyDescent="0.3"/>
    <row r="517" s="59" customFormat="1" ht="14.25" x14ac:dyDescent="0.3"/>
    <row r="518" s="59" customFormat="1" ht="14.25" x14ac:dyDescent="0.3"/>
    <row r="519" s="59" customFormat="1" ht="14.25" x14ac:dyDescent="0.3"/>
    <row r="520" s="59" customFormat="1" ht="14.25" x14ac:dyDescent="0.3"/>
    <row r="521" s="59" customFormat="1" ht="14.25" x14ac:dyDescent="0.3"/>
    <row r="522" s="59" customFormat="1" ht="14.25" x14ac:dyDescent="0.3"/>
    <row r="523" s="59" customFormat="1" ht="14.25" x14ac:dyDescent="0.3"/>
    <row r="524" s="59" customFormat="1" ht="14.25" x14ac:dyDescent="0.3"/>
    <row r="525" s="59" customFormat="1" ht="14.25" x14ac:dyDescent="0.3"/>
    <row r="526" s="59" customFormat="1" ht="14.25" x14ac:dyDescent="0.3"/>
    <row r="527" s="59" customFormat="1" ht="14.25" x14ac:dyDescent="0.3"/>
    <row r="528" s="59" customFormat="1" ht="14.25" x14ac:dyDescent="0.3"/>
    <row r="529" s="59" customFormat="1" ht="14.25" x14ac:dyDescent="0.3"/>
    <row r="530" s="59" customFormat="1" ht="14.25" x14ac:dyDescent="0.3"/>
    <row r="531" s="59" customFormat="1" ht="14.25" x14ac:dyDescent="0.3"/>
    <row r="532" s="59" customFormat="1" ht="14.25" x14ac:dyDescent="0.3"/>
    <row r="533" s="59" customFormat="1" ht="14.25" x14ac:dyDescent="0.3"/>
    <row r="534" s="59" customFormat="1" ht="14.25" x14ac:dyDescent="0.3"/>
    <row r="535" s="59" customFormat="1" ht="14.25" x14ac:dyDescent="0.3"/>
    <row r="536" s="59" customFormat="1" ht="14.25" x14ac:dyDescent="0.3"/>
    <row r="537" s="59" customFormat="1" ht="14.25" x14ac:dyDescent="0.3"/>
    <row r="538" s="59" customFormat="1" ht="14.25" x14ac:dyDescent="0.3"/>
    <row r="539" s="59" customFormat="1" ht="14.25" x14ac:dyDescent="0.3"/>
    <row r="540" s="59" customFormat="1" ht="14.25" x14ac:dyDescent="0.3"/>
    <row r="541" s="59" customFormat="1" ht="14.25" x14ac:dyDescent="0.3"/>
  </sheetData>
  <mergeCells count="21">
    <mergeCell ref="A24:B24"/>
    <mergeCell ref="A3:B4"/>
    <mergeCell ref="A5:B5"/>
    <mergeCell ref="A9:B9"/>
    <mergeCell ref="A10:B10"/>
    <mergeCell ref="A14:B14"/>
    <mergeCell ref="A15:A16"/>
    <mergeCell ref="A17:B17"/>
    <mergeCell ref="A20:B20"/>
    <mergeCell ref="A21:B21"/>
    <mergeCell ref="A22:B22"/>
    <mergeCell ref="A23:B23"/>
    <mergeCell ref="A27:B27"/>
    <mergeCell ref="A28:B28"/>
    <mergeCell ref="A31:F31"/>
    <mergeCell ref="A33:B33"/>
    <mergeCell ref="E33:E36"/>
    <mergeCell ref="F33:F36"/>
    <mergeCell ref="A34:B34"/>
    <mergeCell ref="A35:B35"/>
    <mergeCell ref="A36:B3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D993-E017-4E5D-8908-EFD2B52E5A08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Panel_Cost_Table</vt:lpstr>
      <vt:lpstr>LABOUR_Cost</vt:lpstr>
      <vt:lpstr>Equipment Costs(Press_Machine)</vt:lpstr>
      <vt:lpstr>Equipment Costs(Drilling)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Ju Han</dc:creator>
  <cp:lastModifiedBy>박현</cp:lastModifiedBy>
  <dcterms:created xsi:type="dcterms:W3CDTF">2021-02-09T06:54:09Z</dcterms:created>
  <dcterms:modified xsi:type="dcterms:W3CDTF">2022-06-13T04:57:43Z</dcterms:modified>
</cp:coreProperties>
</file>